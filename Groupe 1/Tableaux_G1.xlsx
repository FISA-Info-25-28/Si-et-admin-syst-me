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hais\Documents Local\FISA A3\Projet 2 securite\"/>
    </mc:Choice>
  </mc:AlternateContent>
  <xr:revisionPtr revIDLastSave="0" documentId="8_{228A58B5-69CE-4C85-B25A-46DD257C4A2A}" xr6:coauthVersionLast="47" xr6:coauthVersionMax="47" xr10:uidLastSave="{00000000-0000-0000-0000-000000000000}"/>
  <bookViews>
    <workbookView xWindow="-110" yWindow="-110" windowWidth="25820" windowHeight="15500" activeTab="3" xr2:uid="{035E060A-674E-4396-B256-B6DA672087D6}"/>
  </bookViews>
  <sheets>
    <sheet name="Sécurité" sheetId="1" r:id="rId1"/>
    <sheet name="Filtrage springfield" sheetId="4" r:id="rId2"/>
    <sheet name="Filtrage atlantis" sheetId="2" r:id="rId3"/>
    <sheet name="Supervision"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4" l="1"/>
  <c r="A3" i="4"/>
  <c r="A4" i="4"/>
  <c r="A5" i="4"/>
  <c r="A6" i="4"/>
  <c r="A7" i="4"/>
  <c r="A8" i="4"/>
  <c r="A9" i="4"/>
  <c r="A10" i="4"/>
  <c r="A11" i="4"/>
  <c r="A12" i="4"/>
  <c r="A13" i="4"/>
  <c r="A14" i="4"/>
  <c r="A15" i="4"/>
  <c r="A16" i="4"/>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2" i="2"/>
  <c r="A3" i="2"/>
  <c r="A4" i="2"/>
  <c r="A5" i="2"/>
</calcChain>
</file>

<file path=xl/sharedStrings.xml><?xml version="1.0" encoding="utf-8"?>
<sst xmlns="http://schemas.openxmlformats.org/spreadsheetml/2006/main" count="581" uniqueCount="202">
  <si>
    <t>Questionnaire de sécurité</t>
  </si>
  <si>
    <t>Remédiation</t>
  </si>
  <si>
    <t xml:space="preserve">Politique de sécurité </t>
  </si>
  <si>
    <t>Une charte de sécurité est une bonne solution pour mettre en place les bases de la sécurité auprès des collaborateurs</t>
  </si>
  <si>
    <t xml:space="preserve">Une charte de sécurité a-t-elle été distribuée à tous les collaborateurs ? </t>
  </si>
  <si>
    <t>Mettre à jour la charte pour inclure les règles de mots de passe, l’interdiction des comptes partagés et la liste des logiciels autorisés, cela représente les enjeux majeurs de la sécurité des postes.</t>
  </si>
  <si>
    <t>Formation des utilisateurs</t>
  </si>
  <si>
    <t>La formation des utilisateur du réseau est un des éléments les plus important dans la sécurisation d'un réseau.</t>
  </si>
  <si>
    <t>Les utilisateurs sont-ils formés à ne pas ouvrir de pièces jointes ou liens provenant d'expéditeurs inconnus ?</t>
  </si>
  <si>
    <t>Mettre en place une formation annuelle anti-phishing et organiser des tests réguliers de sensibilisation (ex: mails de phishing interne).</t>
  </si>
  <si>
    <t>Les utilisateurs ont-ils connaissances des notions de "mot de passe fort" ?</t>
  </si>
  <si>
    <t>Fournir une formation simple sur les bonnes pratiques de gestion des mots de passe et imposer des règles techniques via GPO.</t>
  </si>
  <si>
    <t>Sécurisation des accès</t>
  </si>
  <si>
    <t>Sécurisation des postes utilisateurs</t>
  </si>
  <si>
    <t>Les postes des utilisateurs représentent des failles, il fait savoir les protéger.</t>
  </si>
  <si>
    <t>Un antivirus est il mis en place sur les postes de tous les utilisateurs ?</t>
  </si>
  <si>
    <t>Déployer un antivirus centralisé sur tous les postes et activer les alertes en temps réel. Utiliser les GPO pour bloquer des accès à des types de téléchargements.</t>
  </si>
  <si>
    <t xml:space="preserve">Les utilisateurs mettent ils régulièrement leurs logiciels et systèmes d'exploitation à jours ? </t>
  </si>
  <si>
    <t>Sécurisation des réseaux</t>
  </si>
  <si>
    <t>Le réseau doit être sécurisé pour filtrer les flux entrants et sortant et dans le réseau en lui-même.</t>
  </si>
  <si>
    <t>Installer et configurer un pare-feu professionnel avec des règles restrictives et un filtrage. Ils peuvent être ajouter sous un format physique ou virtualisés sur le routeur.</t>
  </si>
  <si>
    <t>Sécurisation des équipements</t>
  </si>
  <si>
    <t>Une DMZ est elle en place sur le réseau pour isoler des accès non autorisés ?</t>
  </si>
  <si>
    <t>Sécurisation des sauvegardes</t>
  </si>
  <si>
    <t>Les sauvegardes mettent en sécurité les données à un instant T.</t>
  </si>
  <si>
    <t xml:space="preserve">Le plan de sauvegarde prend il en compte une sauvegarde immuable ? </t>
  </si>
  <si>
    <t xml:space="preserve">Sécurisation contre les malwares et ransomwares </t>
  </si>
  <si>
    <t>Un VPN est-il utilisé pour les connexions à distance ?</t>
  </si>
  <si>
    <t>L’utilisation d’un VPN sécurisé (avec authentification forte) permet de protéger les connexions distantes contre les interceptions et les attaques visant à compromettre le réseau interne.</t>
  </si>
  <si>
    <t>Les logiciels antivirus sont-ils configurés pour bloquer les comportements suspects(chiffrement) ?</t>
  </si>
  <si>
    <t>Les antivirus modernes doivent être configurés pour détecter le chiffrement massif de fichiers, les accès anormaux et les comportements typiques des ransomwares afin de bloquer l’attaque avant propagation.</t>
  </si>
  <si>
    <t>Sécurisation en cas d'attaque</t>
  </si>
  <si>
    <t>La sauvegarde régulière des données peut considérablement réduire le temps de remise en route en cas d'attaque.</t>
  </si>
  <si>
    <t>Les données sauvegardées ont une durée de sauvegarde de plus de 7jours ?</t>
  </si>
  <si>
    <t>Une rétention de sauvegarde d’au moins 7 jours permet de disposer de points de restauration multiples en cas de compromission progressive des données.</t>
  </si>
  <si>
    <t>Un RTO inférieur à 24h garantit une reprise d'activité rapide et limite les pertes opérationnelles liées à l’interruption du service.</t>
  </si>
  <si>
    <t>Journalisation et surveillance des logs</t>
  </si>
  <si>
    <t>Une surveillance du réseau est indispensable pour réagir rapidement en cas d'attaque.</t>
  </si>
  <si>
    <t>Une surveillance est elle mise en place sur le réseau ?</t>
  </si>
  <si>
    <t>La mise en place d’une supervision du réseau permet de détecter rapidement les anomalies, les intrusions et les comportements atypiques permettant un réaction rapide.</t>
  </si>
  <si>
    <t xml:space="preserve">Les logs sont ils accessibles sur les flux dans le réseau ? </t>
  </si>
  <si>
    <t>Les journaux doivent être centralisés et accessibles de manière sécurisée pour permettre l’analyse rapide des événements et faciliter les investigations.</t>
  </si>
  <si>
    <t>Ordre</t>
  </si>
  <si>
    <t>Équipement</t>
  </si>
  <si>
    <t>Interface</t>
  </si>
  <si>
    <t>Source</t>
  </si>
  <si>
    <t>Destination</t>
  </si>
  <si>
    <t>Protocole</t>
  </si>
  <si>
    <t>Action</t>
  </si>
  <si>
    <t>Description</t>
  </si>
  <si>
    <t>pfSense Springfield</t>
  </si>
  <si>
    <t>VLAN80_LABO</t>
  </si>
  <si>
    <t>VLAN80_LABO subnets</t>
  </si>
  <si>
    <t>192.168.1.99</t>
  </si>
  <si>
    <t>TCP/UDP 53</t>
  </si>
  <si>
    <t>Pass</t>
  </si>
  <si>
    <t>LAB → DNS du DC (Atlantis)</t>
  </si>
  <si>
    <t>VLAN70_SERVEURS subnets</t>
  </si>
  <si>
    <t>Any</t>
  </si>
  <si>
    <t>LAB → Serveurs Atlantis (NAS/AD/ERP)</t>
  </si>
  <si>
    <t>192.168.1.162</t>
  </si>
  <si>
    <t>TCP 80/443</t>
  </si>
  <si>
    <t>LAB → IIS DMZ (site web interne)</t>
  </si>
  <si>
    <t>192.168.1.48/28 (BE)</t>
  </si>
  <si>
    <t>LAB → BE (lecture seule via NAS/ERP)</t>
  </si>
  <si>
    <t>192.168.1.110</t>
  </si>
  <si>
    <t>TCP 587</t>
  </si>
  <si>
    <t>LABO→ Serveur Mail (SMTP Submission)</t>
  </si>
  <si>
    <t>TCP 993</t>
  </si>
  <si>
    <t>LABO→ Serveur Mail (IMAPS)</t>
  </si>
  <si>
    <t>RFC1918</t>
  </si>
  <si>
    <t>Block</t>
  </si>
  <si>
    <t>LAB → Tout autre réseau privé Atlantis interdit</t>
  </si>
  <si>
    <t>!RFC1918</t>
  </si>
  <si>
    <t>LAB → Internet autorisé</t>
  </si>
  <si>
    <t>Sécurité : bloque tout le reste</t>
  </si>
  <si>
    <t>MPLS</t>
  </si>
  <si>
    <t>VLAN10_DIRECTION subnets</t>
  </si>
  <si>
    <t>Direction Atlantis → accès total LABO</t>
  </si>
  <si>
    <t>VLAN20_RH subnets</t>
  </si>
  <si>
    <t>RH Atlantis → accès LABO autorisé</t>
  </si>
  <si>
    <t>VLAN40_BE subnets</t>
  </si>
  <si>
    <t>Bureau d’Étude → accès LABO (lecture/lecture seule via ACL)</t>
  </si>
  <si>
    <t>Autres VLAN Atlantis → LABO interdit</t>
  </si>
  <si>
    <t>pfSense Springfield Address</t>
  </si>
  <si>
    <t>Protection du firewall (aucune admin depuis MPLS)</t>
  </si>
  <si>
    <t>pfSense Atlantis</t>
  </si>
  <si>
    <t>VLAN10_DIRECTION</t>
  </si>
  <si>
    <t>Direction – accès complet à tous les services et VLAN</t>
  </si>
  <si>
    <t>VLAN20_RH</t>
  </si>
  <si>
    <t>RH → DNS (DC)</t>
  </si>
  <si>
    <t>RH → NAS / AD / ERP</t>
  </si>
  <si>
    <t>RH → Web interne IIS DMZ</t>
  </si>
  <si>
    <t>RH → Serveur Mail (SMTP Submission)</t>
  </si>
  <si>
    <t>RH → Serveur Mail (IMAPS)</t>
  </si>
  <si>
    <t>192.168.1.128/27</t>
  </si>
  <si>
    <t>RH → LAB (interdit)</t>
  </si>
  <si>
    <t>Blocage RH vers les autres VLAN</t>
  </si>
  <si>
    <t>RH → Internet</t>
  </si>
  <si>
    <t>VLAN30_JURIDIQUE</t>
  </si>
  <si>
    <t>VLAN30_JURIDIQUE subnets</t>
  </si>
  <si>
    <t>Juridique → DNS</t>
  </si>
  <si>
    <t>Juridique → NAS / AD / ERP</t>
  </si>
  <si>
    <t>Juridique → Serveur Mail (SMTP Submission)</t>
  </si>
  <si>
    <t>Juridique → Serveur Mail (IMAPS)</t>
  </si>
  <si>
    <t>Juridique → LAB interdit</t>
  </si>
  <si>
    <t>Juridique → autres VLAN interdit</t>
  </si>
  <si>
    <t>Juridique → Internet</t>
  </si>
  <si>
    <t>VLAN40_BE</t>
  </si>
  <si>
    <t>BE → DNS</t>
  </si>
  <si>
    <t>BE → Serveurs (NAS, AD, ERP)</t>
  </si>
  <si>
    <t>BE → IIS DMZ</t>
  </si>
  <si>
    <t>BE → LAB (autorisé via MPLS)</t>
  </si>
  <si>
    <t>BE → Serveur Mail (SMTP Submission)</t>
  </si>
  <si>
    <t>BE → Serveur Mail (IMAPS)</t>
  </si>
  <si>
    <t>BE → RH interdit</t>
  </si>
  <si>
    <t>BE → Juridique interdit</t>
  </si>
  <si>
    <t>BE → autres VLAN internes</t>
  </si>
  <si>
    <t>BE → Internet</t>
  </si>
  <si>
    <t>VLAN50_COMMERCIAL</t>
  </si>
  <si>
    <t>VLAN50_COMMERCIAL subnets</t>
  </si>
  <si>
    <t>Commercial → DNS</t>
  </si>
  <si>
    <t>Commercial → NAS / AD / ERP</t>
  </si>
  <si>
    <t>Commercial → Serveur Mail (SMTP Submission)</t>
  </si>
  <si>
    <t>Commercial → Serveur Mail (IMAPS)</t>
  </si>
  <si>
    <t>Commercial → RH interdit</t>
  </si>
  <si>
    <t>Commercial → Juridique interdit</t>
  </si>
  <si>
    <t>Commercial → LAB interdit</t>
  </si>
  <si>
    <t>Commercial → Internet</t>
  </si>
  <si>
    <t>VLAN60_COMPTA</t>
  </si>
  <si>
    <t>VLAN60_COMPTA subnets</t>
  </si>
  <si>
    <t>Compta → DNS</t>
  </si>
  <si>
    <t>Compta → Serveurs</t>
  </si>
  <si>
    <t>Compta → Serveur Mail (SMTP Submission)</t>
  </si>
  <si>
    <t>Compta → Serveur Mail (IMAPS)</t>
  </si>
  <si>
    <t>Compta → LAB interdit</t>
  </si>
  <si>
    <t>Compta → autres VLAN</t>
  </si>
  <si>
    <t>Compta → Internet</t>
  </si>
  <si>
    <t>VLAN70_SERVEURS</t>
  </si>
  <si>
    <t>Serveurs → Accès global</t>
  </si>
  <si>
    <t>LAB → DNS AD Atlantis</t>
  </si>
  <si>
    <t>LAB → Serveurs (NAS, AD, ERP)</t>
  </si>
  <si>
    <t>LAB → IIS interne (DMZ)</t>
  </si>
  <si>
    <t>LAB → Bureau d'Étude (lecture via NAS/ERP)</t>
  </si>
  <si>
    <t>LAB → Tous les VLAN Atlantis interdits (RH, Juridique, Compta…)</t>
  </si>
  <si>
    <t>10.10.10.0/30</t>
  </si>
  <si>
    <t>Flux techniques MPLS : ping, traceroute, retour des connexions</t>
  </si>
  <si>
    <t>pfSense Atlantis Address</t>
  </si>
  <si>
    <t>Protection du firewall (pas d'admin via MPLS)</t>
  </si>
  <si>
    <t>Blocage final (sécurité maximale)</t>
  </si>
  <si>
    <t>Criticité</t>
  </si>
  <si>
    <t>Action déclenchée</t>
  </si>
  <si>
    <t>Justification sécurité</t>
  </si>
  <si>
    <t>Tentative de connexion échouées</t>
  </si>
  <si>
    <t>Haute</t>
  </si>
  <si>
    <t>Active Directory (DC)</t>
  </si>
  <si>
    <t>Alerte mail</t>
  </si>
  <si>
    <t>Détection d’attaques par bruteforce</t>
  </si>
  <si>
    <t>Connexion Administrateur</t>
  </si>
  <si>
    <t>Suivi des accès sensibles</t>
  </si>
  <si>
    <t>Modification de GPO</t>
  </si>
  <si>
    <t>Contrôleur de Domaine</t>
  </si>
  <si>
    <t>Prévention des modifications non autorisées</t>
  </si>
  <si>
    <t>Désactivation de l’antivirus</t>
  </si>
  <si>
    <t>Antivirus</t>
  </si>
  <si>
    <t>Alerte mail + isolement automatique</t>
  </si>
  <si>
    <t>Risque immédiat de compromission</t>
  </si>
  <si>
    <t>Activité réseau anormale</t>
  </si>
  <si>
    <t>Moyenne</t>
  </si>
  <si>
    <t>Routeur</t>
  </si>
  <si>
    <t>Alerte + capture réseau automatique</t>
  </si>
  <si>
    <t>Analyse de comportements suspects</t>
  </si>
  <si>
    <t>Appareil inconnu sur le réseau</t>
  </si>
  <si>
    <t>Switch</t>
  </si>
  <si>
    <t>Alerte + blocage automatique</t>
  </si>
  <si>
    <t>Protection contre les intrusions physiques</t>
  </si>
  <si>
    <t>Échec de sauvegarde complète</t>
  </si>
  <si>
    <t>Sauvegarde</t>
  </si>
  <si>
    <t>Tentative de relance de sauvegarde</t>
  </si>
  <si>
    <t>Protection de l’intégrité des données</t>
  </si>
  <si>
    <t>Échec de sauvegarde critique</t>
  </si>
  <si>
    <t>Données hautement sensibles à restaurer</t>
  </si>
  <si>
    <t>Échec de sauvegarde ERP</t>
  </si>
  <si>
    <t>Continuité de service applicative</t>
  </si>
  <si>
    <t>Les utilisateurs doivent activer les mises à jour automatiques des logiciels . Un mail automatique peut être programmé pour prévenir les utilisateurs d'une nouvelle version disponible pour un logiciel pour leur permettre de vérifier.</t>
  </si>
  <si>
    <t xml:space="preserve">Des Vlan sont ils en place pour séparer les différents espaces du réseau ? </t>
  </si>
  <si>
    <t>Segmenter le réseau en VLAN pour limiter la propagation d’un incident. le pare feu peut également analyser les échanges entre les VLAN.</t>
  </si>
  <si>
    <t>La DMZ représente un excellent remparts  entre le SI interne et l'extérieur.</t>
  </si>
  <si>
    <t xml:space="preserve">Un plan de sauvegarde est il mit en place ? </t>
  </si>
  <si>
    <t>Le plan de sauvegarde doit prendre en compte une sauvegarde internet (NAS) une sauvegarde externe (NAS externe ou disque dur) et une sauvegarde Cloud.</t>
  </si>
  <si>
    <t>Une sauvegarde immuable peut être mise en place sur le cloud pour conserver les données en lecture seule et bloquer toutes tentatives de corruption.</t>
  </si>
  <si>
    <t>Les malware sont le pire ennemi des entreprises, il est donc important de s'en protéger.</t>
  </si>
  <si>
    <t>Le RTO  maximale est inférieure à 24h ?</t>
  </si>
  <si>
    <t>Mettre en place une charte de sécurité officielle à l'entreprise, la diffuser régulièrement à l’ensemble des employés (penser à la distribuer aux nouveaux employés.</t>
  </si>
  <si>
    <t>La charte de sécurité précise-t-elle : que les comptes ne peuvent être partagés, que le mot de passe doit être changé  tous les 3 à 6 mois ou que seul une liste d'applications autorisée par l'administration ne peuvent être utilisées?</t>
  </si>
  <si>
    <t>Un plan de sauvegarde peut être mis en place en prenant en compte la RTO et la RPO garantissant une sécurité optimale des données en cas d'attaque.</t>
  </si>
  <si>
    <t>Identifier les services accessibles depuis l'extérieur de l'entreprise (clients ou accès web). Une DMZ peut alors être mise en place pour isoler ces services et les isoler du reste du réseau en cas d'attaque malveillante.</t>
  </si>
  <si>
    <t>Le plan de sauvegarde répond il aux attentes 3-2-1 ?</t>
  </si>
  <si>
    <t>La sécurisation des accès aux postes des collaborateurs dois être correctement appréhendée.</t>
  </si>
  <si>
    <t xml:space="preserve">Les comptes de chaque utilisateur sont ils protégés par un mot de passe répondant aux normes de sécurité ? </t>
  </si>
  <si>
    <t>Mettre en place une politique de blocage si un mot de passe initialisé est non conforme à la norme de l'entreprise. (10 caractères minimum, 1 chiffre, 1 majuscule, 1 caractère spécial).</t>
  </si>
  <si>
    <t>Un pare-feu existe-t 'il pour filtrer le trafic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</si>
</sst>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 x14ac:knownFonts="1">
    <font>
      <sz val="11"/>
      <color theme="1"/>
      <name val="Aptos Narrow"/>
      <family val="2"/>
      <scheme val="minor"/>
    </font>
    <font>
      <sz val="11"/>
      <color theme="1"/>
      <name val="Aptos Narrow"/>
      <family val="2"/>
      <scheme val="minor"/>
    </font>
    <font>
      <sz val="11"/>
      <color theme="1"/>
      <name val="Aptos Display"/>
      <family val="2"/>
      <scheme val="major"/>
    </font>
    <font>
      <b/>
      <sz val="11"/>
      <color theme="1"/>
      <name val="Aptos Narrow"/>
      <family val="2"/>
      <scheme val="minor"/>
    </font>
    <font>
      <b/>
      <sz val="15"/>
      <color theme="1"/>
      <name val="Aptos Narrow"/>
      <family val="2"/>
      <scheme val="minor"/>
    </font>
    <font>
      <sz val="11"/>
      <color rgb="FF000000"/>
      <name val="Aptos Narrow"/>
      <scheme val="minor"/>
    </font>
  </fonts>
  <fills count="4">
    <fill>
      <patternFill patternType="none"/>
    </fill>
    <fill>
      <patternFill patternType="gray125"/>
    </fill>
    <fill>
      <patternFill patternType="solid">
        <fgColor theme="2"/>
        <bgColor indexed="64"/>
      </patternFill>
    </fill>
    <fill>
      <patternFill patternType="solid">
        <fgColor theme="4" tint="0.79998168889431442"/>
        <bgColor indexed="64"/>
      </patternFill>
    </fill>
  </fills>
  <borders count="16">
    <border>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ck">
        <color indexed="64"/>
      </top>
      <bottom style="thick">
        <color indexed="64"/>
      </bottom>
      <diagonal/>
    </border>
    <border>
      <left style="medium">
        <color indexed="64"/>
      </left>
      <right/>
      <top style="medium">
        <color indexed="64"/>
      </top>
      <bottom style="thick">
        <color indexed="64"/>
      </bottom>
      <diagonal/>
    </border>
    <border>
      <left style="medium">
        <color indexed="64"/>
      </left>
      <right style="thin">
        <color indexed="64"/>
      </right>
      <top style="thick">
        <color indexed="64"/>
      </top>
      <bottom style="thick">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ck">
        <color indexed="64"/>
      </bottom>
      <diagonal/>
    </border>
    <border>
      <left/>
      <right style="thin">
        <color indexed="64"/>
      </right>
      <top/>
      <bottom/>
      <diagonal/>
    </border>
    <border>
      <left/>
      <right style="thin">
        <color indexed="64"/>
      </right>
      <top style="thick">
        <color indexed="64"/>
      </top>
      <bottom style="thick">
        <color indexed="64"/>
      </bottom>
      <diagonal/>
    </border>
    <border>
      <left/>
      <right style="thin">
        <color indexed="64"/>
      </right>
      <top/>
      <bottom style="medium">
        <color indexed="64"/>
      </bottom>
      <diagonal/>
    </border>
    <border>
      <left style="medium">
        <color indexed="64"/>
      </left>
      <right style="thin">
        <color indexed="64"/>
      </right>
      <top style="thick">
        <color indexed="64"/>
      </top>
      <bottom/>
      <diagonal/>
    </border>
    <border>
      <left style="medium">
        <color indexed="64"/>
      </left>
      <right style="thin">
        <color indexed="64"/>
      </right>
      <top/>
      <bottom style="thick">
        <color indexed="64"/>
      </bottom>
      <diagonal/>
    </border>
    <border>
      <left style="medium">
        <color theme="1"/>
      </left>
      <right style="medium">
        <color theme="1"/>
      </right>
      <top style="medium">
        <color theme="1"/>
      </top>
      <bottom style="medium">
        <color theme="1"/>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0" fillId="0" borderId="0" xfId="0" applyAlignment="1">
      <alignment vertical="center" wrapText="1"/>
    </xf>
    <xf numFmtId="0" fontId="2" fillId="3" borderId="2" xfId="0" applyFont="1" applyFill="1" applyBorder="1" applyAlignment="1">
      <alignment vertical="center"/>
    </xf>
    <xf numFmtId="0" fontId="2" fillId="3" borderId="4" xfId="0" applyFont="1" applyFill="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wrapText="1"/>
    </xf>
    <xf numFmtId="0" fontId="2" fillId="0" borderId="7" xfId="0" applyFont="1" applyBorder="1" applyAlignment="1">
      <alignment vertical="center"/>
    </xf>
    <xf numFmtId="0" fontId="2" fillId="0" borderId="6" xfId="0" applyFont="1" applyBorder="1" applyAlignment="1">
      <alignment vertical="center"/>
    </xf>
    <xf numFmtId="0" fontId="2" fillId="0" borderId="8" xfId="0" applyFont="1" applyBorder="1" applyAlignment="1">
      <alignment vertical="center"/>
    </xf>
    <xf numFmtId="0" fontId="2" fillId="0" borderId="1" xfId="0" applyFont="1" applyBorder="1" applyAlignment="1">
      <alignment vertical="center"/>
    </xf>
    <xf numFmtId="0" fontId="0" fillId="0" borderId="10" xfId="0" applyBorder="1" applyAlignment="1">
      <alignment vertical="center" wrapText="1"/>
    </xf>
    <xf numFmtId="0" fontId="0" fillId="3" borderId="11" xfId="0" applyFill="1" applyBorder="1" applyAlignment="1">
      <alignment vertical="center" wrapText="1"/>
    </xf>
    <xf numFmtId="0" fontId="0" fillId="0" borderId="10" xfId="0" applyBorder="1" applyAlignment="1">
      <alignment wrapText="1"/>
    </xf>
    <xf numFmtId="0" fontId="2" fillId="3" borderId="2" xfId="0" applyFont="1" applyFill="1" applyBorder="1" applyAlignment="1">
      <alignment vertical="center" wrapText="1"/>
    </xf>
    <xf numFmtId="0" fontId="0" fillId="0" borderId="12" xfId="0" applyBorder="1" applyAlignment="1">
      <alignment wrapText="1"/>
    </xf>
    <xf numFmtId="0" fontId="4" fillId="2" borderId="3" xfId="0" applyFont="1" applyFill="1" applyBorder="1"/>
    <xf numFmtId="0" fontId="4" fillId="2" borderId="9" xfId="0" applyFont="1" applyFill="1" applyBorder="1"/>
    <xf numFmtId="0" fontId="3" fillId="0" borderId="0" xfId="0" applyFont="1" applyAlignment="1">
      <alignment horizontal="center" vertical="center" wrapText="1"/>
    </xf>
    <xf numFmtId="0" fontId="0" fillId="0" borderId="13" xfId="0" applyBorder="1" applyAlignment="1">
      <alignment vertical="center"/>
    </xf>
    <xf numFmtId="0" fontId="0" fillId="0" borderId="14" xfId="0" applyBorder="1" applyAlignment="1">
      <alignment vertical="center" wrapText="1"/>
    </xf>
    <xf numFmtId="0" fontId="3" fillId="0" borderId="15" xfId="0" applyFont="1" applyBorder="1"/>
    <xf numFmtId="0" fontId="3" fillId="0" borderId="15" xfId="0" applyFont="1" applyBorder="1" applyAlignment="1">
      <alignment wrapText="1"/>
    </xf>
    <xf numFmtId="0" fontId="0" fillId="0" borderId="15" xfId="0" applyBorder="1"/>
    <xf numFmtId="0" fontId="0" fillId="0" borderId="15" xfId="0" applyBorder="1" applyAlignment="1">
      <alignment wrapText="1"/>
    </xf>
    <xf numFmtId="0" fontId="5" fillId="0" borderId="15" xfId="0" applyFont="1" applyBorder="1"/>
  </cellXfs>
  <cellStyles count="2">
    <cellStyle name="Milliers 2" xfId="1" xr:uid="{DA8E990F-3981-48F7-BAEC-248B9A2A0D13}"/>
    <cellStyle name="Normal" xfId="0" builtinId="0"/>
  </cellStyles>
  <dxfs count="18">
    <dxf>
      <alignment wrapText="1"/>
      <border diagonalUp="0" diagonalDown="0">
        <left style="medium">
          <color theme="1"/>
        </left>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bottom/>
        <vertical style="medium">
          <color theme="1"/>
        </vertical>
        <horizontal style="medium">
          <color theme="1"/>
        </horizontal>
      </border>
    </dxf>
    <dxf>
      <alignment wrapText="1"/>
      <border diagonalUp="0" diagonalDown="0">
        <left style="medium">
          <color theme="1"/>
        </left>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bottom/>
        <vertical style="medium">
          <color theme="1"/>
        </vertical>
        <horizontal style="medium">
          <color theme="1"/>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120DED-C994-48DD-8047-25533EAC251F}" name="Tableau24" displayName="Tableau24" ref="A1:H16" totalsRowShown="0" headerRowDxfId="17">
  <autoFilter ref="A1:H16" xr:uid="{606AD536-0978-4400-8FC6-0CB6EE24D91C}"/>
  <tableColumns count="8">
    <tableColumn id="1" xr3:uid="{4BC5A9B7-5C8B-4DE0-AA28-46AE19C81027}" name="Ordre" dataDxfId="16">
      <calculatedColumnFormula>ROW() - ROW(Tableau2[[#Headers],[Ordre]])</calculatedColumnFormula>
    </tableColumn>
    <tableColumn id="2" xr3:uid="{7A507804-6C04-449F-ADD5-34240A6E90C2}" name="Équipement" dataDxfId="15"/>
    <tableColumn id="3" xr3:uid="{A5073BCB-DEFC-4842-9E3C-D3A1635E91AE}" name="Interface" dataDxfId="14"/>
    <tableColumn id="4" xr3:uid="{90851B9A-0D83-4BC9-BC06-8EC80975028A}" name="Source" dataDxfId="13"/>
    <tableColumn id="5" xr3:uid="{B299A768-0B3F-4FC8-9872-4BE1D53F6BF4}" name="Destination" dataDxfId="12"/>
    <tableColumn id="9" xr3:uid="{D728D478-E7FB-48FE-B16E-133BA87F06F6}" name="Protocole" dataDxfId="11"/>
    <tableColumn id="6" xr3:uid="{DC8BD48D-96E1-4FC7-AA04-539917CAD0B8}" name="Action" dataDxfId="10"/>
    <tableColumn id="7" xr3:uid="{039C5310-3740-4CF7-9DE7-B23A9414DEAC}" name="Description" dataDxfId="9"/>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6AD536-0978-4400-8FC6-0CB6EE24D91C}" name="Tableau2" displayName="Tableau2" ref="A1:H51" totalsRowShown="0" headerRowDxfId="8">
  <autoFilter ref="A1:H51" xr:uid="{606AD536-0978-4400-8FC6-0CB6EE24D91C}"/>
  <tableColumns count="8">
    <tableColumn id="1" xr3:uid="{3C5280AB-2287-4B08-9B5A-45AC9600381F}" name="Ordre" dataDxfId="7">
      <calculatedColumnFormula>ROW() - ROW(Tableau2[[#Headers],[Ordre]])</calculatedColumnFormula>
    </tableColumn>
    <tableColumn id="2" xr3:uid="{2D26804C-3672-40DF-B1D9-09AA81A5D7A5}" name="Équipement" dataDxfId="6"/>
    <tableColumn id="3" xr3:uid="{EEB4145B-9743-4075-BD7E-9F607E31165F}" name="Interface" dataDxfId="5"/>
    <tableColumn id="4" xr3:uid="{4AC77145-78F3-499C-AA9E-71A6EDF1CACA}" name="Source" dataDxfId="4"/>
    <tableColumn id="5" xr3:uid="{36DFDC36-404D-49D1-87B7-0048420E6F82}" name="Destination" dataDxfId="3"/>
    <tableColumn id="9" xr3:uid="{75271D44-86E8-4E68-8836-3540161B1FBA}" name="Protocole" dataDxfId="2"/>
    <tableColumn id="6" xr3:uid="{2417F33D-FCD2-43AC-80E8-5E85CCDAD738}" name="Action" dataDxfId="1"/>
    <tableColumn id="7" xr3:uid="{35B29513-1E5F-4288-92FB-738D2F7C2135}" name="Description" dataDxfId="0"/>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E7C63-9CF5-4D97-8020-7E17906F56DE}" name="Tableau1" displayName="Tableau1" ref="A1:E10" totalsRowShown="0">
  <autoFilter ref="A1:E10" xr:uid="{6DEE7C63-9CF5-4D97-8020-7E17906F56DE}"/>
  <tableColumns count="5">
    <tableColumn id="1" xr3:uid="{45E17FD3-1BE0-44A8-B2FD-425308AD45C4}" name="Description"/>
    <tableColumn id="2" xr3:uid="{54439D25-3620-48B2-AD00-DB6A44EC8C3A}" name="Criticité"/>
    <tableColumn id="3" xr3:uid="{21C06920-A4FD-4006-A8AD-465E96E2723D}" name="Source"/>
    <tableColumn id="4" xr3:uid="{EABEF909-1D77-4D00-882B-C75F97B1ACBF}" name="Action déclenchée"/>
    <tableColumn id="5" xr3:uid="{55102C12-8885-44ED-8F03-49D616A8882F}" name="Justification sécurité"/>
  </tableColumns>
  <tableStyleInfo name="TableStyleLight1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0D554-B03C-466B-B189-EB55C403FD28}">
  <dimension ref="A1:B30"/>
  <sheetViews>
    <sheetView zoomScale="80" zoomScaleNormal="90" workbookViewId="0">
      <selection activeCell="A14" sqref="A14"/>
    </sheetView>
  </sheetViews>
  <sheetFormatPr baseColWidth="10" defaultColWidth="11.453125" defaultRowHeight="14.5" x14ac:dyDescent="0.35"/>
  <cols>
    <col min="1" max="1" width="95.08984375" customWidth="1"/>
    <col min="2" max="2" width="110.36328125" customWidth="1"/>
  </cols>
  <sheetData>
    <row r="1" spans="1:2" ht="20" thickBot="1" x14ac:dyDescent="0.5">
      <c r="A1" s="15" t="s">
        <v>0</v>
      </c>
      <c r="B1" s="16" t="s">
        <v>1</v>
      </c>
    </row>
    <row r="2" spans="1:2" ht="15.5" thickTop="1" thickBot="1" x14ac:dyDescent="0.4">
      <c r="A2" s="3" t="s">
        <v>2</v>
      </c>
      <c r="B2" s="2" t="s">
        <v>3</v>
      </c>
    </row>
    <row r="3" spans="1:2" ht="30" customHeight="1" thickTop="1" x14ac:dyDescent="0.35">
      <c r="A3" s="4" t="s">
        <v>4</v>
      </c>
      <c r="B3" s="10" t="s">
        <v>193</v>
      </c>
    </row>
    <row r="4" spans="1:2" ht="43.25" customHeight="1" thickBot="1" x14ac:dyDescent="0.4">
      <c r="A4" s="5" t="s">
        <v>194</v>
      </c>
      <c r="B4" s="10" t="s">
        <v>5</v>
      </c>
    </row>
    <row r="5" spans="1:2" ht="15.5" thickTop="1" thickBot="1" x14ac:dyDescent="0.4">
      <c r="A5" s="3" t="s">
        <v>6</v>
      </c>
      <c r="B5" s="11" t="s">
        <v>7</v>
      </c>
    </row>
    <row r="6" spans="1:2" ht="30" customHeight="1" thickTop="1" x14ac:dyDescent="0.35">
      <c r="A6" s="4" t="s">
        <v>8</v>
      </c>
      <c r="B6" s="12" t="s">
        <v>9</v>
      </c>
    </row>
    <row r="7" spans="1:2" ht="30" customHeight="1" thickBot="1" x14ac:dyDescent="0.4">
      <c r="A7" s="6" t="s">
        <v>10</v>
      </c>
      <c r="B7" s="12" t="s">
        <v>11</v>
      </c>
    </row>
    <row r="8" spans="1:2" ht="15.5" thickTop="1" thickBot="1" x14ac:dyDescent="0.4">
      <c r="A8" s="3" t="s">
        <v>12</v>
      </c>
      <c r="B8" s="13" t="s">
        <v>198</v>
      </c>
    </row>
    <row r="9" spans="1:2" ht="30" customHeight="1" thickTop="1" thickBot="1" x14ac:dyDescent="0.4">
      <c r="A9" s="6" t="s">
        <v>199</v>
      </c>
      <c r="B9" s="10" t="s">
        <v>200</v>
      </c>
    </row>
    <row r="10" spans="1:2" ht="15.5" thickTop="1" thickBot="1" x14ac:dyDescent="0.4">
      <c r="A10" s="3" t="s">
        <v>13</v>
      </c>
      <c r="B10" s="13" t="s">
        <v>14</v>
      </c>
    </row>
    <row r="11" spans="1:2" ht="30" customHeight="1" thickTop="1" x14ac:dyDescent="0.35">
      <c r="A11" s="4" t="s">
        <v>15</v>
      </c>
      <c r="B11" s="12" t="s">
        <v>16</v>
      </c>
    </row>
    <row r="12" spans="1:2" ht="30" customHeight="1" thickBot="1" x14ac:dyDescent="0.4">
      <c r="A12" s="7" t="s">
        <v>17</v>
      </c>
      <c r="B12" s="10" t="s">
        <v>184</v>
      </c>
    </row>
    <row r="13" spans="1:2" ht="15.5" thickTop="1" thickBot="1" x14ac:dyDescent="0.4">
      <c r="A13" s="3" t="s">
        <v>18</v>
      </c>
      <c r="B13" s="13" t="s">
        <v>19</v>
      </c>
    </row>
    <row r="14" spans="1:2" ht="30" customHeight="1" thickTop="1" x14ac:dyDescent="0.35">
      <c r="A14" s="4" t="s">
        <v>201</v>
      </c>
      <c r="B14" s="12" t="s">
        <v>20</v>
      </c>
    </row>
    <row r="15" spans="1:2" ht="30" customHeight="1" thickBot="1" x14ac:dyDescent="0.4">
      <c r="A15" s="7" t="s">
        <v>185</v>
      </c>
      <c r="B15" s="12" t="s">
        <v>186</v>
      </c>
    </row>
    <row r="16" spans="1:2" ht="15.5" thickTop="1" thickBot="1" x14ac:dyDescent="0.4">
      <c r="A16" s="3" t="s">
        <v>21</v>
      </c>
      <c r="B16" s="13" t="s">
        <v>187</v>
      </c>
    </row>
    <row r="17" spans="1:2" ht="30" customHeight="1" thickTop="1" thickBot="1" x14ac:dyDescent="0.4">
      <c r="A17" s="6" t="s">
        <v>22</v>
      </c>
      <c r="B17" s="10" t="s">
        <v>196</v>
      </c>
    </row>
    <row r="18" spans="1:2" ht="15.5" thickTop="1" thickBot="1" x14ac:dyDescent="0.4">
      <c r="A18" s="3" t="s">
        <v>23</v>
      </c>
      <c r="B18" s="13" t="s">
        <v>24</v>
      </c>
    </row>
    <row r="19" spans="1:2" ht="30" customHeight="1" thickTop="1" x14ac:dyDescent="0.35">
      <c r="A19" s="4" t="s">
        <v>188</v>
      </c>
      <c r="B19" s="10" t="s">
        <v>195</v>
      </c>
    </row>
    <row r="20" spans="1:2" ht="30" customHeight="1" x14ac:dyDescent="0.35">
      <c r="A20" s="8" t="s">
        <v>197</v>
      </c>
      <c r="B20" s="10" t="s">
        <v>189</v>
      </c>
    </row>
    <row r="21" spans="1:2" ht="30" customHeight="1" thickBot="1" x14ac:dyDescent="0.4">
      <c r="A21" s="7" t="s">
        <v>25</v>
      </c>
      <c r="B21" s="10" t="s">
        <v>190</v>
      </c>
    </row>
    <row r="22" spans="1:2" ht="15.5" thickTop="1" thickBot="1" x14ac:dyDescent="0.4">
      <c r="A22" s="3" t="s">
        <v>26</v>
      </c>
      <c r="B22" s="13" t="s">
        <v>191</v>
      </c>
    </row>
    <row r="23" spans="1:2" ht="30" customHeight="1" thickTop="1" x14ac:dyDescent="0.35">
      <c r="A23" s="18" t="s">
        <v>27</v>
      </c>
      <c r="B23" s="12" t="s">
        <v>28</v>
      </c>
    </row>
    <row r="24" spans="1:2" ht="30" customHeight="1" thickBot="1" x14ac:dyDescent="0.4">
      <c r="A24" s="19" t="s">
        <v>29</v>
      </c>
      <c r="B24" s="12" t="s">
        <v>30</v>
      </c>
    </row>
    <row r="25" spans="1:2" ht="15.5" thickTop="1" thickBot="1" x14ac:dyDescent="0.4">
      <c r="A25" s="3" t="s">
        <v>31</v>
      </c>
      <c r="B25" s="13" t="s">
        <v>32</v>
      </c>
    </row>
    <row r="26" spans="1:2" ht="30" customHeight="1" thickTop="1" x14ac:dyDescent="0.35">
      <c r="A26" s="4" t="s">
        <v>33</v>
      </c>
      <c r="B26" s="12" t="s">
        <v>34</v>
      </c>
    </row>
    <row r="27" spans="1:2" ht="30" customHeight="1" thickBot="1" x14ac:dyDescent="0.4">
      <c r="A27" s="7" t="s">
        <v>192</v>
      </c>
      <c r="B27" s="12" t="s">
        <v>35</v>
      </c>
    </row>
    <row r="28" spans="1:2" ht="15.5" thickTop="1" thickBot="1" x14ac:dyDescent="0.4">
      <c r="A28" s="3" t="s">
        <v>36</v>
      </c>
      <c r="B28" s="13" t="s">
        <v>37</v>
      </c>
    </row>
    <row r="29" spans="1:2" ht="30" customHeight="1" thickTop="1" x14ac:dyDescent="0.35">
      <c r="A29" s="6" t="s">
        <v>38</v>
      </c>
      <c r="B29" s="12" t="s">
        <v>39</v>
      </c>
    </row>
    <row r="30" spans="1:2" ht="30" customHeight="1" thickBot="1" x14ac:dyDescent="0.4">
      <c r="A30" s="9" t="s">
        <v>40</v>
      </c>
      <c r="B30" s="14"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8AD5-CC4C-4DDE-AD95-F61AE42FB44C}">
  <dimension ref="A1:H16"/>
  <sheetViews>
    <sheetView zoomScale="84" workbookViewId="0">
      <selection activeCell="L3" sqref="L3"/>
    </sheetView>
  </sheetViews>
  <sheetFormatPr baseColWidth="10" defaultColWidth="8.90625" defaultRowHeight="15" thickBottom="1" x14ac:dyDescent="0.4"/>
  <cols>
    <col min="1" max="1" width="7.81640625" style="22" customWidth="1"/>
    <col min="2" max="2" width="14.6328125" style="22" customWidth="1"/>
    <col min="3" max="3" width="20.90625" style="22" customWidth="1"/>
    <col min="4" max="4" width="27.54296875" style="22" bestFit="1" customWidth="1"/>
    <col min="5" max="5" width="24.54296875" style="22" customWidth="1"/>
    <col min="6" max="6" width="14.54296875" style="22" customWidth="1"/>
    <col min="7" max="7" width="29" style="22" bestFit="1" customWidth="1"/>
    <col min="8" max="8" width="30.453125" style="22" customWidth="1"/>
    <col min="9" max="16384" width="8.90625" style="22"/>
  </cols>
  <sheetData>
    <row r="1" spans="1:8" thickBot="1" x14ac:dyDescent="0.4">
      <c r="A1" s="20" t="s">
        <v>42</v>
      </c>
      <c r="B1" s="21" t="s">
        <v>43</v>
      </c>
      <c r="C1" s="20" t="s">
        <v>44</v>
      </c>
      <c r="D1" s="20" t="s">
        <v>45</v>
      </c>
      <c r="E1" s="21" t="s">
        <v>46</v>
      </c>
      <c r="F1" s="20" t="s">
        <v>47</v>
      </c>
      <c r="G1" s="20" t="s">
        <v>48</v>
      </c>
      <c r="H1" s="21" t="s">
        <v>49</v>
      </c>
    </row>
    <row r="2" spans="1:8" ht="15" customHeight="1" thickBot="1" x14ac:dyDescent="0.4">
      <c r="A2" s="20">
        <f>ROW() - ROW(Tableau2[[#Headers],[Ordre]])</f>
        <v>1</v>
      </c>
      <c r="B2" s="23" t="s">
        <v>50</v>
      </c>
      <c r="C2" s="22" t="s">
        <v>51</v>
      </c>
      <c r="D2" s="22" t="s">
        <v>52</v>
      </c>
      <c r="E2" s="23" t="s">
        <v>53</v>
      </c>
      <c r="F2" s="22" t="s">
        <v>54</v>
      </c>
      <c r="G2" s="22" t="s">
        <v>55</v>
      </c>
      <c r="H2" s="23" t="s">
        <v>56</v>
      </c>
    </row>
    <row r="3" spans="1:8" ht="29.5" thickBot="1" x14ac:dyDescent="0.4">
      <c r="A3" s="20">
        <f>ROW() - ROW(Tableau2[[#Headers],[Ordre]])</f>
        <v>2</v>
      </c>
      <c r="B3" s="23" t="s">
        <v>50</v>
      </c>
      <c r="C3" s="22" t="s">
        <v>51</v>
      </c>
      <c r="D3" s="22" t="s">
        <v>52</v>
      </c>
      <c r="E3" s="23" t="s">
        <v>57</v>
      </c>
      <c r="F3" s="22" t="s">
        <v>58</v>
      </c>
      <c r="G3" s="22" t="s">
        <v>55</v>
      </c>
      <c r="H3" s="23" t="s">
        <v>59</v>
      </c>
    </row>
    <row r="4" spans="1:8" ht="15" customHeight="1" thickBot="1" x14ac:dyDescent="0.4">
      <c r="A4" s="20">
        <f>ROW() - ROW(Tableau2[[#Headers],[Ordre]])</f>
        <v>3</v>
      </c>
      <c r="B4" s="23" t="s">
        <v>50</v>
      </c>
      <c r="C4" s="22" t="s">
        <v>51</v>
      </c>
      <c r="D4" s="22" t="s">
        <v>52</v>
      </c>
      <c r="E4" s="23" t="s">
        <v>60</v>
      </c>
      <c r="F4" s="22" t="s">
        <v>61</v>
      </c>
      <c r="G4" s="22" t="s">
        <v>55</v>
      </c>
      <c r="H4" s="23" t="s">
        <v>62</v>
      </c>
    </row>
    <row r="5" spans="1:8" ht="15" customHeight="1" thickBot="1" x14ac:dyDescent="0.4">
      <c r="A5" s="20">
        <f>ROW() - ROW(Tableau2[[#Headers],[Ordre]])</f>
        <v>4</v>
      </c>
      <c r="B5" s="23" t="s">
        <v>50</v>
      </c>
      <c r="C5" s="22" t="s">
        <v>51</v>
      </c>
      <c r="D5" s="22" t="s">
        <v>52</v>
      </c>
      <c r="E5" s="23" t="s">
        <v>63</v>
      </c>
      <c r="F5" s="22" t="s">
        <v>58</v>
      </c>
      <c r="G5" s="22" t="s">
        <v>55</v>
      </c>
      <c r="H5" s="23" t="s">
        <v>64</v>
      </c>
    </row>
    <row r="6" spans="1:8" ht="29.5" thickBot="1" x14ac:dyDescent="0.4">
      <c r="A6" s="20">
        <f>ROW() - ROW(Tableau2[[#Headers],[Ordre]])</f>
        <v>5</v>
      </c>
      <c r="B6" s="23" t="s">
        <v>50</v>
      </c>
      <c r="C6" s="22" t="s">
        <v>51</v>
      </c>
      <c r="D6" s="22" t="s">
        <v>52</v>
      </c>
      <c r="E6" s="23" t="s">
        <v>65</v>
      </c>
      <c r="F6" s="22" t="s">
        <v>66</v>
      </c>
      <c r="G6" s="22" t="s">
        <v>55</v>
      </c>
      <c r="H6" s="23" t="s">
        <v>67</v>
      </c>
    </row>
    <row r="7" spans="1:8" ht="15" customHeight="1" thickBot="1" x14ac:dyDescent="0.4">
      <c r="A7" s="20">
        <f>ROW() - ROW(Tableau2[[#Headers],[Ordre]])</f>
        <v>6</v>
      </c>
      <c r="B7" s="23" t="s">
        <v>50</v>
      </c>
      <c r="C7" s="22" t="s">
        <v>51</v>
      </c>
      <c r="D7" s="22" t="s">
        <v>52</v>
      </c>
      <c r="E7" s="23" t="s">
        <v>65</v>
      </c>
      <c r="F7" s="22" t="s">
        <v>68</v>
      </c>
      <c r="G7" s="22" t="s">
        <v>55</v>
      </c>
      <c r="H7" s="23" t="s">
        <v>69</v>
      </c>
    </row>
    <row r="8" spans="1:8" ht="29.5" thickBot="1" x14ac:dyDescent="0.4">
      <c r="A8" s="20">
        <f>ROW() - ROW(Tableau2[[#Headers],[Ordre]])</f>
        <v>7</v>
      </c>
      <c r="B8" s="23" t="s">
        <v>50</v>
      </c>
      <c r="C8" s="22" t="s">
        <v>51</v>
      </c>
      <c r="D8" s="22" t="s">
        <v>52</v>
      </c>
      <c r="E8" s="23" t="s">
        <v>70</v>
      </c>
      <c r="F8" s="22" t="s">
        <v>58</v>
      </c>
      <c r="G8" s="22" t="s">
        <v>71</v>
      </c>
      <c r="H8" s="23" t="s">
        <v>72</v>
      </c>
    </row>
    <row r="9" spans="1:8" ht="15" customHeight="1" thickBot="1" x14ac:dyDescent="0.4">
      <c r="A9" s="20">
        <f>ROW() - ROW(Tableau2[[#Headers],[Ordre]])</f>
        <v>8</v>
      </c>
      <c r="B9" s="23" t="s">
        <v>50</v>
      </c>
      <c r="C9" s="22" t="s">
        <v>51</v>
      </c>
      <c r="D9" s="22" t="s">
        <v>52</v>
      </c>
      <c r="E9" s="23" t="s">
        <v>73</v>
      </c>
      <c r="F9" s="22" t="s">
        <v>58</v>
      </c>
      <c r="G9" s="22" t="s">
        <v>55</v>
      </c>
      <c r="H9" s="23" t="s">
        <v>74</v>
      </c>
    </row>
    <row r="10" spans="1:8" ht="15" customHeight="1" thickBot="1" x14ac:dyDescent="0.4">
      <c r="A10" s="20">
        <f>ROW() - ROW(Tableau2[[#Headers],[Ordre]])</f>
        <v>9</v>
      </c>
      <c r="B10" s="23" t="s">
        <v>50</v>
      </c>
      <c r="C10" s="22" t="s">
        <v>51</v>
      </c>
      <c r="D10" s="22" t="s">
        <v>52</v>
      </c>
      <c r="E10" s="23" t="s">
        <v>58</v>
      </c>
      <c r="F10" s="22" t="s">
        <v>58</v>
      </c>
      <c r="G10" s="22" t="s">
        <v>71</v>
      </c>
      <c r="H10" s="23" t="s">
        <v>75</v>
      </c>
    </row>
    <row r="11" spans="1:8" ht="15" customHeight="1" thickBot="1" x14ac:dyDescent="0.4">
      <c r="A11" s="20">
        <f>ROW() - ROW(Tableau2[[#Headers],[Ordre]])</f>
        <v>10</v>
      </c>
      <c r="B11" s="23" t="s">
        <v>50</v>
      </c>
      <c r="C11" s="22" t="s">
        <v>76</v>
      </c>
      <c r="D11" s="22" t="s">
        <v>77</v>
      </c>
      <c r="E11" s="23" t="s">
        <v>52</v>
      </c>
      <c r="F11" s="22" t="s">
        <v>58</v>
      </c>
      <c r="G11" s="22" t="s">
        <v>55</v>
      </c>
      <c r="H11" s="23" t="s">
        <v>78</v>
      </c>
    </row>
    <row r="12" spans="1:8" ht="15" customHeight="1" thickBot="1" x14ac:dyDescent="0.4">
      <c r="A12" s="20">
        <f>ROW() - ROW(Tableau2[[#Headers],[Ordre]])</f>
        <v>11</v>
      </c>
      <c r="B12" s="23" t="s">
        <v>50</v>
      </c>
      <c r="C12" s="22" t="s">
        <v>76</v>
      </c>
      <c r="D12" s="22" t="s">
        <v>79</v>
      </c>
      <c r="E12" s="23" t="s">
        <v>52</v>
      </c>
      <c r="F12" s="22" t="s">
        <v>58</v>
      </c>
      <c r="G12" s="22" t="s">
        <v>55</v>
      </c>
      <c r="H12" s="23" t="s">
        <v>80</v>
      </c>
    </row>
    <row r="13" spans="1:8" ht="29.5" thickBot="1" x14ac:dyDescent="0.4">
      <c r="A13" s="20">
        <f>ROW() - ROW(Tableau2[[#Headers],[Ordre]])</f>
        <v>12</v>
      </c>
      <c r="B13" s="23" t="s">
        <v>50</v>
      </c>
      <c r="C13" s="22" t="s">
        <v>76</v>
      </c>
      <c r="D13" s="22" t="s">
        <v>81</v>
      </c>
      <c r="E13" s="23" t="s">
        <v>52</v>
      </c>
      <c r="F13" s="22" t="s">
        <v>58</v>
      </c>
      <c r="G13" s="22" t="s">
        <v>55</v>
      </c>
      <c r="H13" s="23" t="s">
        <v>82</v>
      </c>
    </row>
    <row r="14" spans="1:8" ht="15" customHeight="1" thickBot="1" x14ac:dyDescent="0.4">
      <c r="A14" s="20">
        <f>ROW() - ROW(Tableau2[[#Headers],[Ordre]])</f>
        <v>13</v>
      </c>
      <c r="B14" s="23" t="s">
        <v>50</v>
      </c>
      <c r="C14" s="22" t="s">
        <v>76</v>
      </c>
      <c r="D14" s="22" t="s">
        <v>70</v>
      </c>
      <c r="E14" s="23" t="s">
        <v>52</v>
      </c>
      <c r="F14" s="22" t="s">
        <v>58</v>
      </c>
      <c r="G14" s="22" t="s">
        <v>71</v>
      </c>
      <c r="H14" s="23" t="s">
        <v>83</v>
      </c>
    </row>
    <row r="15" spans="1:8" ht="29.5" thickBot="1" x14ac:dyDescent="0.4">
      <c r="A15" s="20">
        <f>ROW() - ROW(Tableau2[[#Headers],[Ordre]])</f>
        <v>14</v>
      </c>
      <c r="B15" s="23" t="s">
        <v>50</v>
      </c>
      <c r="C15" s="22" t="s">
        <v>76</v>
      </c>
      <c r="D15" s="22" t="s">
        <v>58</v>
      </c>
      <c r="E15" s="23" t="s">
        <v>84</v>
      </c>
      <c r="F15" s="22" t="s">
        <v>58</v>
      </c>
      <c r="G15" s="22" t="s">
        <v>71</v>
      </c>
      <c r="H15" s="23" t="s">
        <v>85</v>
      </c>
    </row>
    <row r="16" spans="1:8" ht="15" customHeight="1" thickBot="1" x14ac:dyDescent="0.4">
      <c r="A16" s="20">
        <f>ROW() - ROW(Tableau2[[#Headers],[Ordre]])</f>
        <v>15</v>
      </c>
      <c r="B16" s="23" t="s">
        <v>50</v>
      </c>
      <c r="C16" s="22" t="s">
        <v>76</v>
      </c>
      <c r="D16" s="22" t="s">
        <v>58</v>
      </c>
      <c r="E16" s="23" t="s">
        <v>58</v>
      </c>
      <c r="F16" s="22" t="s">
        <v>58</v>
      </c>
      <c r="G16" s="22" t="s">
        <v>71</v>
      </c>
      <c r="H16" s="23" t="s">
        <v>149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D718D-1CE5-497F-9898-93C60D663FA8}">
  <dimension ref="A1:H51"/>
  <sheetViews>
    <sheetView zoomScale="84" workbookViewId="0">
      <selection activeCell="A2" sqref="A2"/>
    </sheetView>
  </sheetViews>
  <sheetFormatPr baseColWidth="10" defaultColWidth="8.90625" defaultRowHeight="15" thickBottom="1" x14ac:dyDescent="0.4"/>
  <cols>
    <col min="1" max="1" width="7.6328125" style="22" bestFit="1" customWidth="1"/>
    <col min="2" max="2" width="14.6328125" style="22" customWidth="1"/>
    <col min="3" max="3" width="20.90625" style="22" customWidth="1"/>
    <col min="4" max="4" width="28" style="22" bestFit="1" customWidth="1"/>
    <col min="5" max="5" width="24.54296875" style="22" customWidth="1"/>
    <col min="6" max="6" width="14.54296875" style="22" customWidth="1"/>
    <col min="7" max="7" width="29.08984375" style="22" bestFit="1" customWidth="1"/>
    <col min="8" max="8" width="30.453125" style="22" customWidth="1"/>
    <col min="9" max="16384" width="8.90625" style="22"/>
  </cols>
  <sheetData>
    <row r="1" spans="1:8" thickBot="1" x14ac:dyDescent="0.4">
      <c r="A1" s="20" t="s">
        <v>42</v>
      </c>
      <c r="B1" s="20" t="s">
        <v>43</v>
      </c>
      <c r="C1" s="20" t="s">
        <v>44</v>
      </c>
      <c r="D1" s="20" t="s">
        <v>45</v>
      </c>
      <c r="E1" s="20" t="s">
        <v>46</v>
      </c>
      <c r="F1" s="20" t="s">
        <v>47</v>
      </c>
      <c r="G1" s="20" t="s">
        <v>48</v>
      </c>
      <c r="H1" s="21" t="s">
        <v>49</v>
      </c>
    </row>
    <row r="2" spans="1:8" ht="29.5" thickBot="1" x14ac:dyDescent="0.4">
      <c r="A2" s="20">
        <f>ROW() - ROW(Tableau2[[#Headers],[Ordre]])</f>
        <v>1</v>
      </c>
      <c r="B2" s="22" t="s">
        <v>86</v>
      </c>
      <c r="C2" s="22" t="s">
        <v>87</v>
      </c>
      <c r="D2" s="22" t="s">
        <v>77</v>
      </c>
      <c r="E2" s="22" t="s">
        <v>58</v>
      </c>
      <c r="F2" s="22" t="s">
        <v>58</v>
      </c>
      <c r="G2" s="22" t="s">
        <v>55</v>
      </c>
      <c r="H2" s="23" t="s">
        <v>88</v>
      </c>
    </row>
    <row r="3" spans="1:8" thickBot="1" x14ac:dyDescent="0.4">
      <c r="A3" s="20">
        <f>ROW() - ROW(Tableau2[[#Headers],[Ordre]])</f>
        <v>2</v>
      </c>
      <c r="B3" s="22" t="s">
        <v>86</v>
      </c>
      <c r="C3" s="22" t="s">
        <v>89</v>
      </c>
      <c r="D3" s="22" t="s">
        <v>79</v>
      </c>
      <c r="E3" s="22" t="s">
        <v>53</v>
      </c>
      <c r="F3" s="22" t="s">
        <v>54</v>
      </c>
      <c r="G3" s="22" t="s">
        <v>55</v>
      </c>
      <c r="H3" s="22" t="s">
        <v>90</v>
      </c>
    </row>
    <row r="4" spans="1:8" thickBot="1" x14ac:dyDescent="0.4">
      <c r="A4" s="20">
        <f>ROW() - ROW(Tableau2[[#Headers],[Ordre]])</f>
        <v>3</v>
      </c>
      <c r="B4" s="22" t="s">
        <v>86</v>
      </c>
      <c r="C4" s="22" t="s">
        <v>89</v>
      </c>
      <c r="D4" s="22" t="s">
        <v>79</v>
      </c>
      <c r="E4" s="22" t="s">
        <v>57</v>
      </c>
      <c r="F4" s="22" t="s">
        <v>58</v>
      </c>
      <c r="G4" s="22" t="s">
        <v>55</v>
      </c>
      <c r="H4" s="22" t="s">
        <v>91</v>
      </c>
    </row>
    <row r="5" spans="1:8" thickBot="1" x14ac:dyDescent="0.4">
      <c r="A5" s="20">
        <f>ROW() - ROW(Tableau2[[#Headers],[Ordre]])</f>
        <v>4</v>
      </c>
      <c r="B5" s="22" t="s">
        <v>86</v>
      </c>
      <c r="C5" s="22" t="s">
        <v>89</v>
      </c>
      <c r="D5" s="22" t="s">
        <v>79</v>
      </c>
      <c r="E5" s="22" t="s">
        <v>60</v>
      </c>
      <c r="F5" s="22" t="s">
        <v>61</v>
      </c>
      <c r="G5" s="22" t="s">
        <v>55</v>
      </c>
      <c r="H5" s="22" t="s">
        <v>92</v>
      </c>
    </row>
    <row r="6" spans="1:8" ht="29.5" thickBot="1" x14ac:dyDescent="0.4">
      <c r="A6" s="20">
        <f>ROW() - ROW(Tableau2[[#Headers],[Ordre]])</f>
        <v>5</v>
      </c>
      <c r="B6" s="22" t="s">
        <v>86</v>
      </c>
      <c r="C6" s="22" t="s">
        <v>89</v>
      </c>
      <c r="D6" s="22" t="s">
        <v>79</v>
      </c>
      <c r="E6" s="22" t="s">
        <v>65</v>
      </c>
      <c r="F6" s="22" t="s">
        <v>66</v>
      </c>
      <c r="G6" s="22" t="s">
        <v>55</v>
      </c>
      <c r="H6" s="23" t="s">
        <v>93</v>
      </c>
    </row>
    <row r="7" spans="1:8" thickBot="1" x14ac:dyDescent="0.4">
      <c r="A7" s="20">
        <f>ROW() - ROW(Tableau2[[#Headers],[Ordre]])</f>
        <v>6</v>
      </c>
      <c r="B7" s="22" t="s">
        <v>86</v>
      </c>
      <c r="C7" s="22" t="s">
        <v>89</v>
      </c>
      <c r="D7" s="22" t="s">
        <v>79</v>
      </c>
      <c r="E7" s="22" t="s">
        <v>65</v>
      </c>
      <c r="F7" s="22" t="s">
        <v>68</v>
      </c>
      <c r="G7" s="22" t="s">
        <v>55</v>
      </c>
      <c r="H7" s="23" t="s">
        <v>94</v>
      </c>
    </row>
    <row r="8" spans="1:8" thickBot="1" x14ac:dyDescent="0.4">
      <c r="A8" s="20">
        <f>ROW() - ROW(Tableau2[[#Headers],[Ordre]])</f>
        <v>7</v>
      </c>
      <c r="B8" s="22" t="s">
        <v>86</v>
      </c>
      <c r="C8" s="22" t="s">
        <v>89</v>
      </c>
      <c r="D8" s="22" t="s">
        <v>79</v>
      </c>
      <c r="E8" s="22" t="s">
        <v>95</v>
      </c>
      <c r="F8" s="22" t="s">
        <v>58</v>
      </c>
      <c r="G8" s="22" t="s">
        <v>71</v>
      </c>
      <c r="H8" s="22" t="s">
        <v>96</v>
      </c>
    </row>
    <row r="9" spans="1:8" thickBot="1" x14ac:dyDescent="0.4">
      <c r="A9" s="20">
        <f>ROW() - ROW(Tableau2[[#Headers],[Ordre]])</f>
        <v>8</v>
      </c>
      <c r="B9" s="22" t="s">
        <v>86</v>
      </c>
      <c r="C9" s="22" t="s">
        <v>89</v>
      </c>
      <c r="D9" s="22" t="s">
        <v>79</v>
      </c>
      <c r="E9" s="22" t="s">
        <v>70</v>
      </c>
      <c r="F9" s="22" t="s">
        <v>58</v>
      </c>
      <c r="G9" s="22" t="s">
        <v>71</v>
      </c>
      <c r="H9" s="22" t="s">
        <v>97</v>
      </c>
    </row>
    <row r="10" spans="1:8" thickBot="1" x14ac:dyDescent="0.4">
      <c r="A10" s="20">
        <f>ROW() - ROW(Tableau2[[#Headers],[Ordre]])</f>
        <v>9</v>
      </c>
      <c r="B10" s="22" t="s">
        <v>86</v>
      </c>
      <c r="C10" s="22" t="s">
        <v>89</v>
      </c>
      <c r="D10" s="22" t="s">
        <v>79</v>
      </c>
      <c r="E10" s="22" t="s">
        <v>73</v>
      </c>
      <c r="F10" s="22" t="s">
        <v>58</v>
      </c>
      <c r="G10" s="22" t="s">
        <v>55</v>
      </c>
      <c r="H10" s="22" t="s">
        <v>98</v>
      </c>
    </row>
    <row r="11" spans="1:8" thickBot="1" x14ac:dyDescent="0.4">
      <c r="A11" s="20">
        <f>ROW() - ROW(Tableau2[[#Headers],[Ordre]])</f>
        <v>10</v>
      </c>
      <c r="B11" s="22" t="s">
        <v>86</v>
      </c>
      <c r="C11" s="22" t="s">
        <v>99</v>
      </c>
      <c r="D11" s="22" t="s">
        <v>100</v>
      </c>
      <c r="E11" s="22" t="s">
        <v>53</v>
      </c>
      <c r="F11" s="22" t="s">
        <v>54</v>
      </c>
      <c r="G11" s="22" t="s">
        <v>55</v>
      </c>
      <c r="H11" s="22" t="s">
        <v>101</v>
      </c>
    </row>
    <row r="12" spans="1:8" thickBot="1" x14ac:dyDescent="0.4">
      <c r="A12" s="20">
        <f>ROW() - ROW(Tableau2[[#Headers],[Ordre]])</f>
        <v>11</v>
      </c>
      <c r="B12" s="22" t="s">
        <v>86</v>
      </c>
      <c r="C12" s="22" t="s">
        <v>99</v>
      </c>
      <c r="D12" s="22" t="s">
        <v>100</v>
      </c>
      <c r="E12" s="22" t="s">
        <v>57</v>
      </c>
      <c r="F12" s="22" t="s">
        <v>58</v>
      </c>
      <c r="G12" s="22" t="s">
        <v>55</v>
      </c>
      <c r="H12" s="22" t="s">
        <v>102</v>
      </c>
    </row>
    <row r="13" spans="1:8" ht="29.5" thickBot="1" x14ac:dyDescent="0.4">
      <c r="A13" s="20">
        <f>ROW() - ROW(Tableau2[[#Headers],[Ordre]])</f>
        <v>12</v>
      </c>
      <c r="B13" s="22" t="s">
        <v>86</v>
      </c>
      <c r="C13" s="22" t="s">
        <v>99</v>
      </c>
      <c r="D13" s="22" t="s">
        <v>100</v>
      </c>
      <c r="E13" s="22" t="s">
        <v>65</v>
      </c>
      <c r="F13" s="22" t="s">
        <v>66</v>
      </c>
      <c r="G13" s="22" t="s">
        <v>55</v>
      </c>
      <c r="H13" s="23" t="s">
        <v>103</v>
      </c>
    </row>
    <row r="14" spans="1:8" thickBot="1" x14ac:dyDescent="0.4">
      <c r="A14" s="20">
        <f>ROW() - ROW(Tableau2[[#Headers],[Ordre]])</f>
        <v>13</v>
      </c>
      <c r="B14" s="22" t="s">
        <v>86</v>
      </c>
      <c r="C14" s="22" t="s">
        <v>99</v>
      </c>
      <c r="D14" s="22" t="s">
        <v>100</v>
      </c>
      <c r="E14" s="22" t="s">
        <v>65</v>
      </c>
      <c r="F14" s="22" t="s">
        <v>68</v>
      </c>
      <c r="G14" s="22" t="s">
        <v>55</v>
      </c>
      <c r="H14" s="23" t="s">
        <v>104</v>
      </c>
    </row>
    <row r="15" spans="1:8" thickBot="1" x14ac:dyDescent="0.4">
      <c r="A15" s="20">
        <f>ROW() - ROW(Tableau2[[#Headers],[Ordre]])</f>
        <v>14</v>
      </c>
      <c r="B15" s="22" t="s">
        <v>86</v>
      </c>
      <c r="C15" s="22" t="s">
        <v>99</v>
      </c>
      <c r="D15" s="22" t="s">
        <v>100</v>
      </c>
      <c r="E15" s="22" t="s">
        <v>95</v>
      </c>
      <c r="F15" s="22" t="s">
        <v>58</v>
      </c>
      <c r="G15" s="22" t="s">
        <v>71</v>
      </c>
      <c r="H15" s="22" t="s">
        <v>105</v>
      </c>
    </row>
    <row r="16" spans="1:8" thickBot="1" x14ac:dyDescent="0.4">
      <c r="A16" s="20">
        <f>ROW() - ROW(Tableau2[[#Headers],[Ordre]])</f>
        <v>15</v>
      </c>
      <c r="B16" s="22" t="s">
        <v>86</v>
      </c>
      <c r="C16" s="22" t="s">
        <v>99</v>
      </c>
      <c r="D16" s="22" t="s">
        <v>100</v>
      </c>
      <c r="E16" s="22" t="s">
        <v>70</v>
      </c>
      <c r="F16" s="22" t="s">
        <v>58</v>
      </c>
      <c r="G16" s="22" t="s">
        <v>71</v>
      </c>
      <c r="H16" s="22" t="s">
        <v>106</v>
      </c>
    </row>
    <row r="17" spans="1:8" thickBot="1" x14ac:dyDescent="0.4">
      <c r="A17" s="20">
        <f>ROW() - ROW(Tableau2[[#Headers],[Ordre]])</f>
        <v>16</v>
      </c>
      <c r="B17" s="22" t="s">
        <v>86</v>
      </c>
      <c r="C17" s="22" t="s">
        <v>99</v>
      </c>
      <c r="D17" s="22" t="s">
        <v>100</v>
      </c>
      <c r="E17" s="22" t="s">
        <v>73</v>
      </c>
      <c r="F17" s="22" t="s">
        <v>58</v>
      </c>
      <c r="G17" s="22" t="s">
        <v>55</v>
      </c>
      <c r="H17" s="22" t="s">
        <v>107</v>
      </c>
    </row>
    <row r="18" spans="1:8" thickBot="1" x14ac:dyDescent="0.4">
      <c r="A18" s="20">
        <f>ROW() - ROW(Tableau2[[#Headers],[Ordre]])</f>
        <v>17</v>
      </c>
      <c r="B18" s="22" t="s">
        <v>86</v>
      </c>
      <c r="C18" s="22" t="s">
        <v>108</v>
      </c>
      <c r="D18" s="22" t="s">
        <v>81</v>
      </c>
      <c r="E18" s="22" t="s">
        <v>53</v>
      </c>
      <c r="F18" s="22" t="s">
        <v>54</v>
      </c>
      <c r="G18" s="22" t="s">
        <v>55</v>
      </c>
      <c r="H18" s="22" t="s">
        <v>109</v>
      </c>
    </row>
    <row r="19" spans="1:8" thickBot="1" x14ac:dyDescent="0.4">
      <c r="A19" s="20">
        <f>ROW() - ROW(Tableau2[[#Headers],[Ordre]])</f>
        <v>18</v>
      </c>
      <c r="B19" s="22" t="s">
        <v>86</v>
      </c>
      <c r="C19" s="22" t="s">
        <v>108</v>
      </c>
      <c r="D19" s="22" t="s">
        <v>81</v>
      </c>
      <c r="E19" s="22" t="s">
        <v>57</v>
      </c>
      <c r="F19" s="22" t="s">
        <v>58</v>
      </c>
      <c r="G19" s="22" t="s">
        <v>55</v>
      </c>
      <c r="H19" s="22" t="s">
        <v>110</v>
      </c>
    </row>
    <row r="20" spans="1:8" thickBot="1" x14ac:dyDescent="0.4">
      <c r="A20" s="20">
        <f>ROW() - ROW(Tableau2[[#Headers],[Ordre]])</f>
        <v>19</v>
      </c>
      <c r="B20" s="22" t="s">
        <v>86</v>
      </c>
      <c r="C20" s="22" t="s">
        <v>108</v>
      </c>
      <c r="D20" s="22" t="s">
        <v>81</v>
      </c>
      <c r="E20" s="22" t="s">
        <v>60</v>
      </c>
      <c r="F20" s="22" t="s">
        <v>61</v>
      </c>
      <c r="G20" s="22" t="s">
        <v>55</v>
      </c>
      <c r="H20" s="22" t="s">
        <v>111</v>
      </c>
    </row>
    <row r="21" spans="1:8" thickBot="1" x14ac:dyDescent="0.4">
      <c r="A21" s="20">
        <f>ROW() - ROW(Tableau2[[#Headers],[Ordre]])</f>
        <v>20</v>
      </c>
      <c r="B21" s="22" t="s">
        <v>86</v>
      </c>
      <c r="C21" s="22" t="s">
        <v>108</v>
      </c>
      <c r="D21" s="22" t="s">
        <v>81</v>
      </c>
      <c r="E21" s="22" t="s">
        <v>95</v>
      </c>
      <c r="F21" s="22" t="s">
        <v>58</v>
      </c>
      <c r="G21" s="22" t="s">
        <v>55</v>
      </c>
      <c r="H21" s="22" t="s">
        <v>112</v>
      </c>
    </row>
    <row r="22" spans="1:8" ht="29.5" thickBot="1" x14ac:dyDescent="0.4">
      <c r="A22" s="20">
        <f>ROW() - ROW(Tableau2[[#Headers],[Ordre]])</f>
        <v>21</v>
      </c>
      <c r="B22" s="22" t="s">
        <v>86</v>
      </c>
      <c r="C22" s="22" t="s">
        <v>108</v>
      </c>
      <c r="D22" s="22" t="s">
        <v>81</v>
      </c>
      <c r="E22" s="22" t="s">
        <v>65</v>
      </c>
      <c r="F22" s="22" t="s">
        <v>66</v>
      </c>
      <c r="G22" s="22" t="s">
        <v>55</v>
      </c>
      <c r="H22" s="23" t="s">
        <v>113</v>
      </c>
    </row>
    <row r="23" spans="1:8" thickBot="1" x14ac:dyDescent="0.4">
      <c r="A23" s="20">
        <f>ROW() - ROW(Tableau2[[#Headers],[Ordre]])</f>
        <v>22</v>
      </c>
      <c r="B23" s="22" t="s">
        <v>86</v>
      </c>
      <c r="C23" s="22" t="s">
        <v>108</v>
      </c>
      <c r="D23" s="22" t="s">
        <v>81</v>
      </c>
      <c r="E23" s="22" t="s">
        <v>65</v>
      </c>
      <c r="F23" s="22" t="s">
        <v>68</v>
      </c>
      <c r="G23" s="22" t="s">
        <v>55</v>
      </c>
      <c r="H23" s="23" t="s">
        <v>114</v>
      </c>
    </row>
    <row r="24" spans="1:8" thickBot="1" x14ac:dyDescent="0.4">
      <c r="A24" s="20">
        <f>ROW() - ROW(Tableau2[[#Headers],[Ordre]])</f>
        <v>23</v>
      </c>
      <c r="B24" s="22" t="s">
        <v>86</v>
      </c>
      <c r="C24" s="22" t="s">
        <v>108</v>
      </c>
      <c r="D24" s="22" t="s">
        <v>81</v>
      </c>
      <c r="E24" s="22" t="s">
        <v>79</v>
      </c>
      <c r="F24" s="22" t="s">
        <v>58</v>
      </c>
      <c r="G24" s="22" t="s">
        <v>71</v>
      </c>
      <c r="H24" s="22" t="s">
        <v>115</v>
      </c>
    </row>
    <row r="25" spans="1:8" thickBot="1" x14ac:dyDescent="0.4">
      <c r="A25" s="20">
        <f>ROW() - ROW(Tableau2[[#Headers],[Ordre]])</f>
        <v>24</v>
      </c>
      <c r="B25" s="22" t="s">
        <v>86</v>
      </c>
      <c r="C25" s="22" t="s">
        <v>108</v>
      </c>
      <c r="D25" s="22" t="s">
        <v>81</v>
      </c>
      <c r="E25" s="22" t="s">
        <v>100</v>
      </c>
      <c r="F25" s="22" t="s">
        <v>58</v>
      </c>
      <c r="G25" s="22" t="s">
        <v>71</v>
      </c>
      <c r="H25" s="22" t="s">
        <v>116</v>
      </c>
    </row>
    <row r="26" spans="1:8" thickBot="1" x14ac:dyDescent="0.4">
      <c r="A26" s="20">
        <f>ROW() - ROW(Tableau2[[#Headers],[Ordre]])</f>
        <v>25</v>
      </c>
      <c r="B26" s="22" t="s">
        <v>86</v>
      </c>
      <c r="C26" s="22" t="s">
        <v>108</v>
      </c>
      <c r="D26" s="22" t="s">
        <v>81</v>
      </c>
      <c r="E26" s="22" t="s">
        <v>70</v>
      </c>
      <c r="F26" s="22" t="s">
        <v>58</v>
      </c>
      <c r="G26" s="22" t="s">
        <v>71</v>
      </c>
      <c r="H26" s="22" t="s">
        <v>117</v>
      </c>
    </row>
    <row r="27" spans="1:8" thickBot="1" x14ac:dyDescent="0.4">
      <c r="A27" s="20">
        <f>ROW() - ROW(Tableau2[[#Headers],[Ordre]])</f>
        <v>26</v>
      </c>
      <c r="B27" s="22" t="s">
        <v>86</v>
      </c>
      <c r="C27" s="22" t="s">
        <v>108</v>
      </c>
      <c r="D27" s="22" t="s">
        <v>81</v>
      </c>
      <c r="E27" s="22" t="s">
        <v>73</v>
      </c>
      <c r="F27" s="22" t="s">
        <v>58</v>
      </c>
      <c r="G27" s="22" t="s">
        <v>55</v>
      </c>
      <c r="H27" s="22" t="s">
        <v>118</v>
      </c>
    </row>
    <row r="28" spans="1:8" thickBot="1" x14ac:dyDescent="0.4">
      <c r="A28" s="20">
        <f>ROW() - ROW(Tableau2[[#Headers],[Ordre]])</f>
        <v>27</v>
      </c>
      <c r="B28" s="22" t="s">
        <v>86</v>
      </c>
      <c r="C28" s="22" t="s">
        <v>119</v>
      </c>
      <c r="D28" s="22" t="s">
        <v>120</v>
      </c>
      <c r="E28" s="22" t="s">
        <v>53</v>
      </c>
      <c r="F28" s="22" t="s">
        <v>54</v>
      </c>
      <c r="G28" s="22" t="s">
        <v>55</v>
      </c>
      <c r="H28" s="22" t="s">
        <v>121</v>
      </c>
    </row>
    <row r="29" spans="1:8" thickBot="1" x14ac:dyDescent="0.4">
      <c r="A29" s="20">
        <f>ROW() - ROW(Tableau2[[#Headers],[Ordre]])</f>
        <v>28</v>
      </c>
      <c r="B29" s="22" t="s">
        <v>86</v>
      </c>
      <c r="C29" s="22" t="s">
        <v>119</v>
      </c>
      <c r="D29" s="22" t="s">
        <v>120</v>
      </c>
      <c r="E29" s="22" t="s">
        <v>57</v>
      </c>
      <c r="F29" s="22" t="s">
        <v>58</v>
      </c>
      <c r="G29" s="22" t="s">
        <v>55</v>
      </c>
      <c r="H29" s="22" t="s">
        <v>122</v>
      </c>
    </row>
    <row r="30" spans="1:8" ht="29.5" thickBot="1" x14ac:dyDescent="0.4">
      <c r="A30" s="20">
        <f>ROW() - ROW(Tableau2[[#Headers],[Ordre]])</f>
        <v>29</v>
      </c>
      <c r="B30" s="22" t="s">
        <v>86</v>
      </c>
      <c r="C30" s="22" t="s">
        <v>119</v>
      </c>
      <c r="D30" s="22" t="s">
        <v>120</v>
      </c>
      <c r="E30" s="22" t="s">
        <v>65</v>
      </c>
      <c r="F30" s="22" t="s">
        <v>66</v>
      </c>
      <c r="G30" s="22" t="s">
        <v>55</v>
      </c>
      <c r="H30" s="23" t="s">
        <v>123</v>
      </c>
    </row>
    <row r="31" spans="1:8" thickBot="1" x14ac:dyDescent="0.4">
      <c r="A31" s="20">
        <f>ROW() - ROW(Tableau2[[#Headers],[Ordre]])</f>
        <v>30</v>
      </c>
      <c r="B31" s="22" t="s">
        <v>86</v>
      </c>
      <c r="C31" s="22" t="s">
        <v>119</v>
      </c>
      <c r="D31" s="22" t="s">
        <v>120</v>
      </c>
      <c r="E31" s="22" t="s">
        <v>65</v>
      </c>
      <c r="F31" s="22" t="s">
        <v>68</v>
      </c>
      <c r="G31" s="22" t="s">
        <v>55</v>
      </c>
      <c r="H31" s="23" t="s">
        <v>124</v>
      </c>
    </row>
    <row r="32" spans="1:8" thickBot="1" x14ac:dyDescent="0.4">
      <c r="A32" s="20">
        <f>ROW() - ROW(Tableau2[[#Headers],[Ordre]])</f>
        <v>31</v>
      </c>
      <c r="B32" s="22" t="s">
        <v>86</v>
      </c>
      <c r="C32" s="22" t="s">
        <v>119</v>
      </c>
      <c r="D32" s="22" t="s">
        <v>120</v>
      </c>
      <c r="E32" s="22" t="s">
        <v>79</v>
      </c>
      <c r="F32" s="22" t="s">
        <v>58</v>
      </c>
      <c r="G32" s="22" t="s">
        <v>71</v>
      </c>
      <c r="H32" s="22" t="s">
        <v>125</v>
      </c>
    </row>
    <row r="33" spans="1:8" thickBot="1" x14ac:dyDescent="0.4">
      <c r="A33" s="20">
        <f>ROW() - ROW(Tableau2[[#Headers],[Ordre]])</f>
        <v>32</v>
      </c>
      <c r="B33" s="22" t="s">
        <v>86</v>
      </c>
      <c r="C33" s="22" t="s">
        <v>119</v>
      </c>
      <c r="D33" s="22" t="s">
        <v>120</v>
      </c>
      <c r="E33" s="22" t="s">
        <v>100</v>
      </c>
      <c r="F33" s="22" t="s">
        <v>58</v>
      </c>
      <c r="G33" s="22" t="s">
        <v>71</v>
      </c>
      <c r="H33" s="22" t="s">
        <v>126</v>
      </c>
    </row>
    <row r="34" spans="1:8" thickBot="1" x14ac:dyDescent="0.4">
      <c r="A34" s="20">
        <f>ROW() - ROW(Tableau2[[#Headers],[Ordre]])</f>
        <v>33</v>
      </c>
      <c r="B34" s="22" t="s">
        <v>86</v>
      </c>
      <c r="C34" s="22" t="s">
        <v>119</v>
      </c>
      <c r="D34" s="22" t="s">
        <v>120</v>
      </c>
      <c r="E34" s="22" t="s">
        <v>95</v>
      </c>
      <c r="F34" s="22" t="s">
        <v>58</v>
      </c>
      <c r="G34" s="22" t="s">
        <v>71</v>
      </c>
      <c r="H34" s="22" t="s">
        <v>127</v>
      </c>
    </row>
    <row r="35" spans="1:8" thickBot="1" x14ac:dyDescent="0.4">
      <c r="A35" s="20">
        <f>ROW() - ROW(Tableau2[[#Headers],[Ordre]])</f>
        <v>34</v>
      </c>
      <c r="B35" s="22" t="s">
        <v>86</v>
      </c>
      <c r="C35" s="22" t="s">
        <v>119</v>
      </c>
      <c r="D35" s="22" t="s">
        <v>120</v>
      </c>
      <c r="E35" s="22" t="s">
        <v>73</v>
      </c>
      <c r="F35" s="22" t="s">
        <v>58</v>
      </c>
      <c r="G35" s="22" t="s">
        <v>55</v>
      </c>
      <c r="H35" s="22" t="s">
        <v>128</v>
      </c>
    </row>
    <row r="36" spans="1:8" thickBot="1" x14ac:dyDescent="0.4">
      <c r="A36" s="20">
        <f>ROW() - ROW(Tableau2[[#Headers],[Ordre]])</f>
        <v>35</v>
      </c>
      <c r="B36" s="22" t="s">
        <v>86</v>
      </c>
      <c r="C36" s="22" t="s">
        <v>129</v>
      </c>
      <c r="D36" s="22" t="s">
        <v>130</v>
      </c>
      <c r="E36" s="22" t="s">
        <v>53</v>
      </c>
      <c r="F36" s="22" t="s">
        <v>54</v>
      </c>
      <c r="G36" s="22" t="s">
        <v>55</v>
      </c>
      <c r="H36" s="22" t="s">
        <v>131</v>
      </c>
    </row>
    <row r="37" spans="1:8" thickBot="1" x14ac:dyDescent="0.4">
      <c r="A37" s="20">
        <f>ROW() - ROW(Tableau2[[#Headers],[Ordre]])</f>
        <v>36</v>
      </c>
      <c r="B37" s="22" t="s">
        <v>86</v>
      </c>
      <c r="C37" s="22" t="s">
        <v>129</v>
      </c>
      <c r="D37" s="22" t="s">
        <v>130</v>
      </c>
      <c r="E37" s="22" t="s">
        <v>57</v>
      </c>
      <c r="F37" s="22" t="s">
        <v>58</v>
      </c>
      <c r="G37" s="22" t="s">
        <v>55</v>
      </c>
      <c r="H37" s="22" t="s">
        <v>132</v>
      </c>
    </row>
    <row r="38" spans="1:8" ht="29.5" thickBot="1" x14ac:dyDescent="0.4">
      <c r="A38" s="20">
        <f>ROW() - ROW(Tableau2[[#Headers],[Ordre]])</f>
        <v>37</v>
      </c>
      <c r="B38" s="22" t="s">
        <v>86</v>
      </c>
      <c r="C38" s="22" t="s">
        <v>129</v>
      </c>
      <c r="D38" s="22" t="s">
        <v>130</v>
      </c>
      <c r="E38" s="22" t="s">
        <v>65</v>
      </c>
      <c r="F38" s="22" t="s">
        <v>66</v>
      </c>
      <c r="G38" s="22" t="s">
        <v>55</v>
      </c>
      <c r="H38" s="23" t="s">
        <v>133</v>
      </c>
    </row>
    <row r="39" spans="1:8" thickBot="1" x14ac:dyDescent="0.4">
      <c r="A39" s="20">
        <f>ROW() - ROW(Tableau2[[#Headers],[Ordre]])</f>
        <v>38</v>
      </c>
      <c r="B39" s="22" t="s">
        <v>86</v>
      </c>
      <c r="C39" s="22" t="s">
        <v>129</v>
      </c>
      <c r="D39" s="22" t="s">
        <v>130</v>
      </c>
      <c r="E39" s="22" t="s">
        <v>65</v>
      </c>
      <c r="F39" s="22" t="s">
        <v>68</v>
      </c>
      <c r="G39" s="22" t="s">
        <v>55</v>
      </c>
      <c r="H39" s="23" t="s">
        <v>134</v>
      </c>
    </row>
    <row r="40" spans="1:8" thickBot="1" x14ac:dyDescent="0.4">
      <c r="A40" s="20">
        <f>ROW() - ROW(Tableau2[[#Headers],[Ordre]])</f>
        <v>39</v>
      </c>
      <c r="B40" s="22" t="s">
        <v>86</v>
      </c>
      <c r="C40" s="22" t="s">
        <v>129</v>
      </c>
      <c r="D40" s="22" t="s">
        <v>130</v>
      </c>
      <c r="E40" s="22" t="s">
        <v>95</v>
      </c>
      <c r="F40" s="22" t="s">
        <v>58</v>
      </c>
      <c r="G40" s="22" t="s">
        <v>71</v>
      </c>
      <c r="H40" s="22" t="s">
        <v>135</v>
      </c>
    </row>
    <row r="41" spans="1:8" thickBot="1" x14ac:dyDescent="0.4">
      <c r="A41" s="20">
        <f>ROW() - ROW(Tableau2[[#Headers],[Ordre]])</f>
        <v>40</v>
      </c>
      <c r="B41" s="22" t="s">
        <v>86</v>
      </c>
      <c r="C41" s="22" t="s">
        <v>129</v>
      </c>
      <c r="D41" s="22" t="s">
        <v>130</v>
      </c>
      <c r="E41" s="22" t="s">
        <v>70</v>
      </c>
      <c r="F41" s="22" t="s">
        <v>58</v>
      </c>
      <c r="G41" s="22" t="s">
        <v>71</v>
      </c>
      <c r="H41" s="22" t="s">
        <v>136</v>
      </c>
    </row>
    <row r="42" spans="1:8" thickBot="1" x14ac:dyDescent="0.4">
      <c r="A42" s="20">
        <f>ROW() - ROW(Tableau2[[#Headers],[Ordre]])</f>
        <v>41</v>
      </c>
      <c r="B42" s="22" t="s">
        <v>86</v>
      </c>
      <c r="C42" s="22" t="s">
        <v>129</v>
      </c>
      <c r="D42" s="22" t="s">
        <v>130</v>
      </c>
      <c r="E42" s="22" t="s">
        <v>73</v>
      </c>
      <c r="F42" s="22" t="s">
        <v>58</v>
      </c>
      <c r="G42" s="22" t="s">
        <v>55</v>
      </c>
      <c r="H42" s="22" t="s">
        <v>137</v>
      </c>
    </row>
    <row r="43" spans="1:8" thickBot="1" x14ac:dyDescent="0.4">
      <c r="A43" s="20">
        <f>ROW() - ROW(Tableau2[[#Headers],[Ordre]])</f>
        <v>42</v>
      </c>
      <c r="B43" s="22" t="s">
        <v>86</v>
      </c>
      <c r="C43" s="22" t="s">
        <v>138</v>
      </c>
      <c r="D43" s="22" t="s">
        <v>57</v>
      </c>
      <c r="E43" s="22" t="s">
        <v>58</v>
      </c>
      <c r="F43" s="22" t="s">
        <v>58</v>
      </c>
      <c r="G43" s="22" t="s">
        <v>55</v>
      </c>
      <c r="H43" s="24" t="s">
        <v>139</v>
      </c>
    </row>
    <row r="44" spans="1:8" thickBot="1" x14ac:dyDescent="0.4">
      <c r="A44" s="20">
        <f>ROW() - ROW(Tableau2[[#Headers],[Ordre]])</f>
        <v>43</v>
      </c>
      <c r="B44" s="22" t="s">
        <v>86</v>
      </c>
      <c r="C44" s="22" t="s">
        <v>76</v>
      </c>
      <c r="D44" s="22" t="s">
        <v>52</v>
      </c>
      <c r="E44" s="23" t="s">
        <v>53</v>
      </c>
      <c r="F44" s="22" t="s">
        <v>54</v>
      </c>
      <c r="G44" s="22" t="s">
        <v>55</v>
      </c>
      <c r="H44" s="22" t="s">
        <v>140</v>
      </c>
    </row>
    <row r="45" spans="1:8" thickBot="1" x14ac:dyDescent="0.4">
      <c r="A45" s="20">
        <f>ROW() - ROW(Tableau2[[#Headers],[Ordre]])</f>
        <v>44</v>
      </c>
      <c r="B45" s="22" t="s">
        <v>86</v>
      </c>
      <c r="C45" s="22" t="s">
        <v>76</v>
      </c>
      <c r="D45" s="22" t="s">
        <v>52</v>
      </c>
      <c r="E45" s="23" t="s">
        <v>57</v>
      </c>
      <c r="F45" s="22" t="s">
        <v>58</v>
      </c>
      <c r="G45" s="22" t="s">
        <v>55</v>
      </c>
      <c r="H45" s="22" t="s">
        <v>141</v>
      </c>
    </row>
    <row r="46" spans="1:8" thickBot="1" x14ac:dyDescent="0.4">
      <c r="A46" s="20">
        <f>ROW() - ROW(Tableau2[[#Headers],[Ordre]])</f>
        <v>45</v>
      </c>
      <c r="B46" s="22" t="s">
        <v>86</v>
      </c>
      <c r="C46" s="22" t="s">
        <v>76</v>
      </c>
      <c r="D46" s="22" t="s">
        <v>52</v>
      </c>
      <c r="E46" s="23" t="s">
        <v>60</v>
      </c>
      <c r="F46" s="22" t="s">
        <v>61</v>
      </c>
      <c r="G46" s="22" t="s">
        <v>55</v>
      </c>
      <c r="H46" s="22" t="s">
        <v>142</v>
      </c>
    </row>
    <row r="47" spans="1:8" ht="29.5" thickBot="1" x14ac:dyDescent="0.4">
      <c r="A47" s="20">
        <f>ROW() - ROW(Tableau2[[#Headers],[Ordre]])</f>
        <v>46</v>
      </c>
      <c r="B47" s="22" t="s">
        <v>86</v>
      </c>
      <c r="C47" s="22" t="s">
        <v>76</v>
      </c>
      <c r="D47" s="22" t="s">
        <v>52</v>
      </c>
      <c r="E47" s="23" t="s">
        <v>81</v>
      </c>
      <c r="F47" s="22" t="s">
        <v>58</v>
      </c>
      <c r="G47" s="22" t="s">
        <v>55</v>
      </c>
      <c r="H47" s="23" t="s">
        <v>143</v>
      </c>
    </row>
    <row r="48" spans="1:8" ht="29.5" thickBot="1" x14ac:dyDescent="0.4">
      <c r="A48" s="20">
        <f>ROW() - ROW(Tableau2[[#Headers],[Ordre]])</f>
        <v>47</v>
      </c>
      <c r="B48" s="22" t="s">
        <v>86</v>
      </c>
      <c r="C48" s="22" t="s">
        <v>76</v>
      </c>
      <c r="D48" s="22" t="s">
        <v>52</v>
      </c>
      <c r="E48" s="23" t="s">
        <v>70</v>
      </c>
      <c r="F48" s="22" t="s">
        <v>58</v>
      </c>
      <c r="G48" s="22" t="s">
        <v>71</v>
      </c>
      <c r="H48" s="23" t="s">
        <v>144</v>
      </c>
    </row>
    <row r="49" spans="1:8" ht="29.5" thickBot="1" x14ac:dyDescent="0.4">
      <c r="A49" s="20">
        <f>ROW() - ROW(Tableau2[[#Headers],[Ordre]])</f>
        <v>48</v>
      </c>
      <c r="B49" s="22" t="s">
        <v>86</v>
      </c>
      <c r="C49" s="22" t="s">
        <v>76</v>
      </c>
      <c r="D49" s="22" t="s">
        <v>145</v>
      </c>
      <c r="E49" s="23" t="s">
        <v>58</v>
      </c>
      <c r="F49" s="22" t="s">
        <v>58</v>
      </c>
      <c r="G49" s="22" t="s">
        <v>55</v>
      </c>
      <c r="H49" s="23" t="s">
        <v>146</v>
      </c>
    </row>
    <row r="50" spans="1:8" ht="29.5" thickBot="1" x14ac:dyDescent="0.4">
      <c r="A50" s="20">
        <f>ROW() - ROW(Tableau2[[#Headers],[Ordre]])</f>
        <v>49</v>
      </c>
      <c r="B50" s="22" t="s">
        <v>86</v>
      </c>
      <c r="C50" s="22" t="s">
        <v>76</v>
      </c>
      <c r="D50" s="22" t="s">
        <v>58</v>
      </c>
      <c r="E50" s="23" t="s">
        <v>147</v>
      </c>
      <c r="F50" s="22" t="s">
        <v>58</v>
      </c>
      <c r="G50" s="22" t="s">
        <v>71</v>
      </c>
      <c r="H50" s="23" t="s">
        <v>148</v>
      </c>
    </row>
    <row r="51" spans="1:8" thickBot="1" x14ac:dyDescent="0.4">
      <c r="A51" s="20">
        <f>ROW() - ROW(Tableau2[[#Headers],[Ordre]])</f>
        <v>50</v>
      </c>
      <c r="B51" s="22" t="s">
        <v>86</v>
      </c>
      <c r="C51" s="22" t="s">
        <v>76</v>
      </c>
      <c r="D51" s="22" t="s">
        <v>58</v>
      </c>
      <c r="E51" s="23" t="s">
        <v>58</v>
      </c>
      <c r="F51" s="22" t="s">
        <v>58</v>
      </c>
      <c r="G51" s="22" t="s">
        <v>71</v>
      </c>
      <c r="H51" s="23" t="s">
        <v>149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AF30-8480-4429-A1EC-3B047CE54CC5}">
  <dimension ref="A1:E10"/>
  <sheetViews>
    <sheetView tabSelected="1" workbookViewId="0">
      <selection activeCell="E19" sqref="E19"/>
    </sheetView>
  </sheetViews>
  <sheetFormatPr baseColWidth="10" defaultColWidth="8.90625" defaultRowHeight="14.5" x14ac:dyDescent="0.35"/>
  <cols>
    <col min="1" max="1" width="26.6328125" bestFit="1" customWidth="1"/>
    <col min="2" max="2" width="11.6328125" bestFit="1" customWidth="1"/>
    <col min="3" max="3" width="19.54296875" bestFit="1" customWidth="1"/>
    <col min="4" max="4" width="30.36328125" bestFit="1" customWidth="1"/>
    <col min="5" max="5" width="22.6328125" bestFit="1" customWidth="1"/>
  </cols>
  <sheetData>
    <row r="1" spans="1:5" x14ac:dyDescent="0.35">
      <c r="A1" s="17" t="s">
        <v>49</v>
      </c>
      <c r="B1" s="17" t="s">
        <v>150</v>
      </c>
      <c r="C1" s="17" t="s">
        <v>45</v>
      </c>
      <c r="D1" s="17" t="s">
        <v>151</v>
      </c>
      <c r="E1" s="17" t="s">
        <v>152</v>
      </c>
    </row>
    <row r="2" spans="1:5" ht="29" x14ac:dyDescent="0.35">
      <c r="A2" s="1" t="s">
        <v>153</v>
      </c>
      <c r="B2" s="1" t="s">
        <v>154</v>
      </c>
      <c r="C2" s="1" t="s">
        <v>155</v>
      </c>
      <c r="D2" s="1" t="s">
        <v>156</v>
      </c>
      <c r="E2" s="1" t="s">
        <v>157</v>
      </c>
    </row>
    <row r="3" spans="1:5" x14ac:dyDescent="0.35">
      <c r="A3" s="1" t="s">
        <v>158</v>
      </c>
      <c r="B3" s="1" t="s">
        <v>154</v>
      </c>
      <c r="C3" s="1" t="s">
        <v>155</v>
      </c>
      <c r="D3" s="1" t="s">
        <v>156</v>
      </c>
      <c r="E3" s="1" t="s">
        <v>159</v>
      </c>
    </row>
    <row r="4" spans="1:5" ht="43.5" x14ac:dyDescent="0.35">
      <c r="A4" s="1" t="s">
        <v>160</v>
      </c>
      <c r="B4" s="1" t="s">
        <v>154</v>
      </c>
      <c r="C4" s="1" t="s">
        <v>161</v>
      </c>
      <c r="D4" s="1" t="s">
        <v>156</v>
      </c>
      <c r="E4" s="1" t="s">
        <v>162</v>
      </c>
    </row>
    <row r="5" spans="1:5" ht="29" x14ac:dyDescent="0.35">
      <c r="A5" s="1" t="s">
        <v>163</v>
      </c>
      <c r="B5" s="1" t="s">
        <v>154</v>
      </c>
      <c r="C5" s="1" t="s">
        <v>164</v>
      </c>
      <c r="D5" s="1" t="s">
        <v>165</v>
      </c>
      <c r="E5" s="1" t="s">
        <v>166</v>
      </c>
    </row>
    <row r="6" spans="1:5" ht="29" x14ac:dyDescent="0.35">
      <c r="A6" s="1" t="s">
        <v>167</v>
      </c>
      <c r="B6" s="1" t="s">
        <v>168</v>
      </c>
      <c r="C6" s="1" t="s">
        <v>169</v>
      </c>
      <c r="D6" s="1" t="s">
        <v>170</v>
      </c>
      <c r="E6" s="1" t="s">
        <v>171</v>
      </c>
    </row>
    <row r="7" spans="1:5" ht="29" x14ac:dyDescent="0.35">
      <c r="A7" s="1" t="s">
        <v>172</v>
      </c>
      <c r="B7" s="1" t="s">
        <v>168</v>
      </c>
      <c r="C7" s="1" t="s">
        <v>173</v>
      </c>
      <c r="D7" s="1" t="s">
        <v>174</v>
      </c>
      <c r="E7" s="1" t="s">
        <v>175</v>
      </c>
    </row>
    <row r="8" spans="1:5" ht="29" x14ac:dyDescent="0.35">
      <c r="A8" s="1" t="s">
        <v>176</v>
      </c>
      <c r="B8" s="1" t="s">
        <v>154</v>
      </c>
      <c r="C8" s="1" t="s">
        <v>177</v>
      </c>
      <c r="D8" s="1" t="s">
        <v>178</v>
      </c>
      <c r="E8" s="1" t="s">
        <v>179</v>
      </c>
    </row>
    <row r="9" spans="1:5" ht="29" x14ac:dyDescent="0.35">
      <c r="A9" s="1" t="s">
        <v>180</v>
      </c>
      <c r="B9" s="1" t="s">
        <v>154</v>
      </c>
      <c r="C9" s="1" t="s">
        <v>177</v>
      </c>
      <c r="D9" s="1" t="s">
        <v>178</v>
      </c>
      <c r="E9" s="1" t="s">
        <v>181</v>
      </c>
    </row>
    <row r="10" spans="1:5" ht="29" x14ac:dyDescent="0.35">
      <c r="A10" s="1" t="s">
        <v>182</v>
      </c>
      <c r="B10" s="1" t="s">
        <v>168</v>
      </c>
      <c r="C10" s="1" t="s">
        <v>177</v>
      </c>
      <c r="D10" s="1" t="s">
        <v>178</v>
      </c>
      <c r="E10" s="1" t="s">
        <v>183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f6a1c03-af3a-4e71-9e6e-f4c2e32f27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4966D543908548AB9B37FF13DB18F4" ma:contentTypeVersion="13" ma:contentTypeDescription="Crée un document." ma:contentTypeScope="" ma:versionID="b3a4b5d448ea166ed7873c82cc964939">
  <xsd:schema xmlns:xsd="http://www.w3.org/2001/XMLSchema" xmlns:xs="http://www.w3.org/2001/XMLSchema" xmlns:p="http://schemas.microsoft.com/office/2006/metadata/properties" xmlns:ns3="6f6a1c03-af3a-4e71-9e6e-f4c2e32f2753" xmlns:ns4="79d77463-1636-453e-8576-2e576500eea0" targetNamespace="http://schemas.microsoft.com/office/2006/metadata/properties" ma:root="true" ma:fieldsID="31bd32269f56e97ca0da3a3e3922545d" ns3:_="" ns4:_="">
    <xsd:import namespace="6f6a1c03-af3a-4e71-9e6e-f4c2e32f2753"/>
    <xsd:import namespace="79d77463-1636-453e-8576-2e576500eea0"/>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GenerationTime" minOccurs="0"/>
                <xsd:element ref="ns3:MediaServiceEventHashCode" minOccurs="0"/>
                <xsd:element ref="ns3:MediaLengthInSeconds" minOccurs="0"/>
                <xsd:element ref="ns3:MediaServiceDateTake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6a1c03-af3a-4e71-9e6e-f4c2e32f27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d77463-1636-453e-8576-2e576500eea0" elementFormDefault="qualified">
    <xsd:import namespace="http://schemas.microsoft.com/office/2006/documentManagement/types"/>
    <xsd:import namespace="http://schemas.microsoft.com/office/infopath/2007/PartnerControls"/>
    <xsd:element name="SharedWithUsers" ma:index="13"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gé avec détails" ma:internalName="SharedWithDetails" ma:readOnly="true">
      <xsd:simpleType>
        <xsd:restriction base="dms:Note">
          <xsd:maxLength value="255"/>
        </xsd:restriction>
      </xsd:simpleType>
    </xsd:element>
    <xsd:element name="SharingHintHash" ma:index="15"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40E63B-7667-4519-AABB-515B9071CD0A}">
  <ds:schemaRefs>
    <ds:schemaRef ds:uri="http://schemas.microsoft.com/office/2006/metadata/properties"/>
    <ds:schemaRef ds:uri="http://schemas.microsoft.com/office/2006/documentManagement/types"/>
    <ds:schemaRef ds:uri="6f6a1c03-af3a-4e71-9e6e-f4c2e32f2753"/>
    <ds:schemaRef ds:uri="http://purl.org/dc/dcmitype/"/>
    <ds:schemaRef ds:uri="http://schemas.openxmlformats.org/package/2006/metadata/core-properties"/>
    <ds:schemaRef ds:uri="http://purl.org/dc/elements/1.1/"/>
    <ds:schemaRef ds:uri="http://schemas.microsoft.com/office/infopath/2007/PartnerControls"/>
    <ds:schemaRef ds:uri="79d77463-1636-453e-8576-2e576500eea0"/>
    <ds:schemaRef ds:uri="http://www.w3.org/XML/1998/namespace"/>
    <ds:schemaRef ds:uri="http://purl.org/dc/terms/"/>
  </ds:schemaRefs>
</ds:datastoreItem>
</file>

<file path=customXml/itemProps2.xml><?xml version="1.0" encoding="utf-8"?>
<ds:datastoreItem xmlns:ds="http://schemas.openxmlformats.org/officeDocument/2006/customXml" ds:itemID="{AE4D0272-E993-42DD-95D0-725550B4E7AB}">
  <ds:schemaRefs>
    <ds:schemaRef ds:uri="http://schemas.microsoft.com/sharepoint/v3/contenttype/forms"/>
  </ds:schemaRefs>
</ds:datastoreItem>
</file>

<file path=customXml/itemProps3.xml><?xml version="1.0" encoding="utf-8"?>
<ds:datastoreItem xmlns:ds="http://schemas.openxmlformats.org/officeDocument/2006/customXml" ds:itemID="{9F0F48B5-A3B9-4118-B4B2-F2C99686ED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6a1c03-af3a-4e71-9e6e-f4c2e32f2753"/>
    <ds:schemaRef ds:uri="79d77463-1636-453e-8576-2e576500ee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Sécurité</vt:lpstr>
      <vt:lpstr>Filtrage springfield</vt:lpstr>
      <vt:lpstr>Filtrage atlantis</vt:lpstr>
      <vt:lpstr>Supervision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VIANES THAÏS</dc:creator>
  <cp:keywords/>
  <dc:description/>
  <cp:lastModifiedBy>VIANES THAÏS</cp:lastModifiedBy>
  <cp:revision/>
  <dcterms:created xsi:type="dcterms:W3CDTF">2025-12-01T14:26:03Z</dcterms:created>
  <dcterms:modified xsi:type="dcterms:W3CDTF">2025-12-12T00:24:04Z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0x010100D64966D543908548AB9B37FF13DB18F4</vt:lpwstr>
  </property>
</Properties>
</file>